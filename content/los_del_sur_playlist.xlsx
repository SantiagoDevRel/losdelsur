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iones LDS" sheetId="1" r:id="rId5"/>
    <sheet state="visible" name="Progreso" sheetId="2" r:id="rId6"/>
  </sheets>
  <definedNames>
    <definedName hidden="1" localSheetId="0" name="_xlnm._FilterDatabase">'Canciones LDS'!$A$1:$D$121</definedName>
  </definedNames>
  <calcPr/>
</workbook>
</file>

<file path=xl/sharedStrings.xml><?xml version="1.0" encoding="utf-8"?>
<sst xmlns="http://schemas.openxmlformats.org/spreadsheetml/2006/main" count="377" uniqueCount="146">
  <si>
    <t>CD</t>
  </si>
  <si>
    <t>Álbum</t>
  </si>
  <si>
    <t>#</t>
  </si>
  <si>
    <t>Canción</t>
  </si>
  <si>
    <t>CD 1</t>
  </si>
  <si>
    <t>Cuando Canta La Sur</t>
  </si>
  <si>
    <t>Intro</t>
  </si>
  <si>
    <t>Verdolaga por siempre voy a ser</t>
  </si>
  <si>
    <t>Venir a verte es amarte</t>
  </si>
  <si>
    <t>Vamos campeón, sos mi pasión</t>
  </si>
  <si>
    <t>Tú eres mi equipo del alma</t>
  </si>
  <si>
    <t>Qué alegría qué alegría</t>
  </si>
  <si>
    <t>Seguirte hasta la muerte</t>
  </si>
  <si>
    <t>Soy del verde</t>
  </si>
  <si>
    <t>Todo mi pueblo está enloquecido</t>
  </si>
  <si>
    <t>Mix sureño</t>
  </si>
  <si>
    <t>Mi único vicio</t>
  </si>
  <si>
    <t>Mi pasión es grande</t>
  </si>
  <si>
    <t>Heavy metal dale dale verde... no le falles a tu gente</t>
  </si>
  <si>
    <t>En el corazón todos te llevamos</t>
  </si>
  <si>
    <t>Empuje de un pueblo... la hinchada del verdolaga</t>
  </si>
  <si>
    <t>Al campeón yo lo llevo en el corazón</t>
  </si>
  <si>
    <t>Barras de Nacional</t>
  </si>
  <si>
    <t>Cuando canta la sur / Una vez más te venimos a alentar</t>
  </si>
  <si>
    <t>Dame una alegría</t>
  </si>
  <si>
    <t>El aguante se muestra en la tribuna</t>
  </si>
  <si>
    <t>CD 2</t>
  </si>
  <si>
    <t>El Orgullo de Ser Verdolaga</t>
  </si>
  <si>
    <t>Agradecimiento a los hinchas</t>
  </si>
  <si>
    <t>Yo soy sureño, el mundo me hizo así</t>
  </si>
  <si>
    <t>Remix pregón sureño</t>
  </si>
  <si>
    <t>Y vamos los verdolagas</t>
  </si>
  <si>
    <t>Soy Verdolaga</t>
  </si>
  <si>
    <t>Sírvame un chorro de guaro</t>
  </si>
  <si>
    <t>Sabes que te amo</t>
  </si>
  <si>
    <t>Relajo sureño</t>
  </si>
  <si>
    <t>Preso de una pasión</t>
  </si>
  <si>
    <t>Porque soy del verde... porque soy sureño</t>
  </si>
  <si>
    <t>Por vos me muero</t>
  </si>
  <si>
    <t>Por las tantas glorias</t>
  </si>
  <si>
    <t>Aunque haya gente que no nos quiera</t>
  </si>
  <si>
    <t>Minuto de silencio Millos...</t>
  </si>
  <si>
    <t>Los colores de mi corazón</t>
  </si>
  <si>
    <t>La gloria nunca la perdimos</t>
  </si>
  <si>
    <t>Himno a nuestros hijos</t>
  </si>
  <si>
    <t>Dale ver que quiero festejar</t>
  </si>
  <si>
    <t>Orgullo paisa</t>
  </si>
  <si>
    <t>Estoy tan enamorado</t>
  </si>
  <si>
    <t>Fiesta en el Atanasio</t>
  </si>
  <si>
    <t>Fiesta sureña</t>
  </si>
  <si>
    <t>Cantemos sureños</t>
  </si>
  <si>
    <t>Brindo por vos Nacional</t>
  </si>
  <si>
    <t>Aunque me cueste morir</t>
  </si>
  <si>
    <t>Aquí está tu hinchada</t>
  </si>
  <si>
    <t>CD 3</t>
  </si>
  <si>
    <t>Soy del Verde, Soy Feliz</t>
  </si>
  <si>
    <t>Yo soy aquel</t>
  </si>
  <si>
    <t>Yo quiero a Nacional</t>
  </si>
  <si>
    <t>Una tarde muy especial</t>
  </si>
  <si>
    <t>Todo por vos</t>
  </si>
  <si>
    <t>Soy sureño tengo güevas</t>
  </si>
  <si>
    <t>Soy del verde desde que nací</t>
  </si>
  <si>
    <t>Sos el equipo que quiero</t>
  </si>
  <si>
    <t>Ser orgullo de un país</t>
  </si>
  <si>
    <t>Que viva el rey de copas</t>
  </si>
  <si>
    <t>Otra vuelta de cerveza</t>
  </si>
  <si>
    <t>Otra vez campeón</t>
  </si>
  <si>
    <t>Morir de amor por Nacional</t>
  </si>
  <si>
    <t>Mi droga y mi alcohol</t>
  </si>
  <si>
    <t>Me lo enseñaron mis viejos</t>
  </si>
  <si>
    <t>La hinchada de Nacional</t>
  </si>
  <si>
    <t>La fiesta es verdolaga</t>
  </si>
  <si>
    <t>La alegría de esta hinchada</t>
  </si>
  <si>
    <t>Cuando yo me muera</t>
  </si>
  <si>
    <t>Del verde por herencia</t>
  </si>
  <si>
    <t>Donde están los indigentes</t>
  </si>
  <si>
    <t>El domingo llegó otra alegría</t>
  </si>
  <si>
    <t>Esta es la hinchada</t>
  </si>
  <si>
    <t>Aunque me sienta mal</t>
  </si>
  <si>
    <t>Ae Andrés</t>
  </si>
  <si>
    <t>A la copa otra vez</t>
  </si>
  <si>
    <t>El domingo llega otra alegría (versión alternativa)</t>
  </si>
  <si>
    <t>CD 4</t>
  </si>
  <si>
    <t>Alegría Popular</t>
  </si>
  <si>
    <t>Aristi no te vallas</t>
  </si>
  <si>
    <t>Cada domingo vuelvo, vos y yo</t>
  </si>
  <si>
    <t>Corran todos</t>
  </si>
  <si>
    <t>El mejor recuerdo para Jhon</t>
  </si>
  <si>
    <t>El mejor recuerdo para Rubiela</t>
  </si>
  <si>
    <t>El orgullo de mi ciudad</t>
  </si>
  <si>
    <t>El rap del bicampeonato</t>
  </si>
  <si>
    <t>Guaro y pola / Donde nacimos y crecimos</t>
  </si>
  <si>
    <t>Infaltables</t>
  </si>
  <si>
    <t>La visita</t>
  </si>
  <si>
    <t>LDS y sus combos, lo más grande</t>
  </si>
  <si>
    <t>Llora rojo, lloren todos acá en popular</t>
  </si>
  <si>
    <t>Mi vida, mi alegría, seguirte hasta la muerte</t>
  </si>
  <si>
    <t>Nacional campeón</t>
  </si>
  <si>
    <t>Rojo no existís</t>
  </si>
  <si>
    <t>Seguirte siempre contra todos</t>
  </si>
  <si>
    <t>Soñar, cantar, gritar por vos</t>
  </si>
  <si>
    <t>Soy tanto, sos tan poco</t>
  </si>
  <si>
    <t>Te amo contra todos, yo soy un orgullo, vos qué sos</t>
  </si>
  <si>
    <t>Tu hinchada verdolaga</t>
  </si>
  <si>
    <t>Verde, esta es tu hinchada de siempre</t>
  </si>
  <si>
    <t>CD 5</t>
  </si>
  <si>
    <t>El Pueblo es Verdolaga</t>
  </si>
  <si>
    <t>El portavoz (Alcolirykoz)</t>
  </si>
  <si>
    <t>De la cuna hasta el cajón</t>
  </si>
  <si>
    <t>La cumbia Nacional</t>
  </si>
  <si>
    <t>Fiesta verde</t>
  </si>
  <si>
    <t>Homenaje a los parceros</t>
  </si>
  <si>
    <t>Yo siempre estaré</t>
  </si>
  <si>
    <t>Por vos</t>
  </si>
  <si>
    <t>René Los Del Sur</t>
  </si>
  <si>
    <t>Homenaje a Pascual</t>
  </si>
  <si>
    <t>Te sigo a donde vayas</t>
  </si>
  <si>
    <t>Rojo qué pasó</t>
  </si>
  <si>
    <t>Quiero dar la vuelta</t>
  </si>
  <si>
    <t>Mi orgullo, mi enfermedad</t>
  </si>
  <si>
    <t>Oh vamos verdolaga</t>
  </si>
  <si>
    <t>El cielo puede esperar</t>
  </si>
  <si>
    <t>CD 6</t>
  </si>
  <si>
    <t>Para Amarte Nací</t>
  </si>
  <si>
    <t>Dejo todo por verte</t>
  </si>
  <si>
    <t>Venimos una vez más</t>
  </si>
  <si>
    <t>El más grande de Colombia</t>
  </si>
  <si>
    <t>La droga de mi corazón</t>
  </si>
  <si>
    <t>La banda es carnaval</t>
  </si>
  <si>
    <t>Sos mi enfermedad</t>
  </si>
  <si>
    <t>De fiesta y de parranda</t>
  </si>
  <si>
    <t>No llores rojo</t>
  </si>
  <si>
    <t>La locura que siento por vos</t>
  </si>
  <si>
    <t>Te quiero como a mi vieja</t>
  </si>
  <si>
    <t>Progreso Los Del Sur</t>
  </si>
  <si>
    <t>Total</t>
  </si>
  <si>
    <t>Escuchadas</t>
  </si>
  <si>
    <t>% Completado</t>
  </si>
  <si>
    <t>CD 1 — Cuando Canta La Sur</t>
  </si>
  <si>
    <t>CD 2 — El Orgullo de Ser Verdolaga</t>
  </si>
  <si>
    <t>CD 3 — Soy del Verde, Soy Feliz</t>
  </si>
  <si>
    <t>CD 4 — Alegría Popular</t>
  </si>
  <si>
    <t>CD 5 — El Pueblo es Verdolaga</t>
  </si>
  <si>
    <t>CD 6 — Para Amarte Nací</t>
  </si>
  <si>
    <t>TOTAL</t>
  </si>
  <si>
    <t>Tip: marca ✓ en la columna de la hoja 'Canciones LDS' y este panel se actualiza solo.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</si>
</sst>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1.0"/>
      <color rgb="FF1B5E20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6.0"/>
      <color rgb="FF1B5E20"/>
      <name val="Arial"/>
    </font>
    <font>
      <i/>
      <sz val="10.0"/>
      <color rgb="FF61616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B3C"/>
        <bgColor rgb="FF006B3C"/>
      </patternFill>
    </fill>
    <fill>
      <patternFill patternType="solid">
        <fgColor rgb="FF00FF00"/>
        <bgColor rgb="FF00FF00"/>
      </patternFill>
    </fill>
    <fill>
      <patternFill patternType="solid">
        <fgColor rgb="FFC8E6C9"/>
        <bgColor rgb="FFC8E6C9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0" fillId="3" fontId="4" numFmtId="0" xfId="0" applyFont="1"/>
    <xf borderId="1" fillId="4" fontId="2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59D"/>
          <bgColor rgb="FFFFF59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6.0"/>
    <col customWidth="1" min="4" max="4" width="60.0"/>
    <col customWidth="1" min="5" max="25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1.0</v>
      </c>
      <c r="D2" s="3" t="s">
        <v>6</v>
      </c>
    </row>
    <row r="3">
      <c r="A3" s="5" t="s">
        <v>4</v>
      </c>
      <c r="B3" s="6" t="s">
        <v>5</v>
      </c>
      <c r="C3" s="7">
        <v>2.0</v>
      </c>
      <c r="D3" s="6" t="s">
        <v>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" t="s">
        <v>4</v>
      </c>
      <c r="B4" s="3" t="s">
        <v>5</v>
      </c>
      <c r="C4" s="4">
        <v>3.0</v>
      </c>
      <c r="D4" s="3" t="s">
        <v>8</v>
      </c>
    </row>
    <row r="5">
      <c r="A5" s="9" t="s">
        <v>4</v>
      </c>
      <c r="B5" s="3" t="s">
        <v>5</v>
      </c>
      <c r="C5" s="4">
        <v>4.0</v>
      </c>
      <c r="D5" s="3" t="s">
        <v>9</v>
      </c>
    </row>
    <row r="6">
      <c r="A6" s="9" t="s">
        <v>4</v>
      </c>
      <c r="B6" s="3" t="s">
        <v>5</v>
      </c>
      <c r="C6" s="4">
        <v>5.0</v>
      </c>
      <c r="D6" s="3" t="s">
        <v>10</v>
      </c>
    </row>
    <row r="7">
      <c r="A7" s="9" t="s">
        <v>4</v>
      </c>
      <c r="B7" s="3" t="s">
        <v>5</v>
      </c>
      <c r="C7" s="4">
        <v>6.0</v>
      </c>
      <c r="D7" s="3" t="s">
        <v>11</v>
      </c>
    </row>
    <row r="8">
      <c r="A8" s="9" t="s">
        <v>4</v>
      </c>
      <c r="B8" s="3" t="s">
        <v>5</v>
      </c>
      <c r="C8" s="4">
        <v>7.0</v>
      </c>
      <c r="D8" s="3" t="s">
        <v>12</v>
      </c>
    </row>
    <row r="9">
      <c r="A9" s="9" t="s">
        <v>4</v>
      </c>
      <c r="B9" s="3" t="s">
        <v>5</v>
      </c>
      <c r="C9" s="4">
        <v>8.0</v>
      </c>
      <c r="D9" s="3" t="s">
        <v>13</v>
      </c>
    </row>
    <row r="10">
      <c r="A10" s="9" t="s">
        <v>4</v>
      </c>
      <c r="B10" s="3" t="s">
        <v>5</v>
      </c>
      <c r="C10" s="4">
        <v>9.0</v>
      </c>
      <c r="D10" s="3" t="s">
        <v>14</v>
      </c>
    </row>
    <row r="11">
      <c r="A11" s="9" t="s">
        <v>4</v>
      </c>
      <c r="B11" s="3" t="s">
        <v>5</v>
      </c>
      <c r="C11" s="4">
        <v>10.0</v>
      </c>
      <c r="D11" s="3" t="s">
        <v>15</v>
      </c>
    </row>
    <row r="12">
      <c r="A12" s="9" t="s">
        <v>4</v>
      </c>
      <c r="B12" s="3" t="s">
        <v>5</v>
      </c>
      <c r="C12" s="4">
        <v>11.0</v>
      </c>
      <c r="D12" s="3" t="s">
        <v>16</v>
      </c>
    </row>
    <row r="13">
      <c r="A13" s="9" t="s">
        <v>4</v>
      </c>
      <c r="B13" s="3" t="s">
        <v>5</v>
      </c>
      <c r="C13" s="4">
        <v>12.0</v>
      </c>
      <c r="D13" s="3" t="s">
        <v>17</v>
      </c>
    </row>
    <row r="14">
      <c r="A14" s="9" t="s">
        <v>4</v>
      </c>
      <c r="B14" s="3" t="s">
        <v>5</v>
      </c>
      <c r="C14" s="4">
        <v>13.0</v>
      </c>
      <c r="D14" s="3" t="s">
        <v>18</v>
      </c>
    </row>
    <row r="15">
      <c r="A15" s="9" t="s">
        <v>4</v>
      </c>
      <c r="B15" s="3" t="s">
        <v>5</v>
      </c>
      <c r="C15" s="4">
        <v>14.0</v>
      </c>
      <c r="D15" s="3" t="s">
        <v>19</v>
      </c>
    </row>
    <row r="16">
      <c r="A16" s="9" t="s">
        <v>4</v>
      </c>
      <c r="B16" s="3" t="s">
        <v>5</v>
      </c>
      <c r="C16" s="4">
        <v>15.0</v>
      </c>
      <c r="D16" s="3" t="s">
        <v>20</v>
      </c>
    </row>
    <row r="17">
      <c r="A17" s="9" t="s">
        <v>4</v>
      </c>
      <c r="B17" s="3" t="s">
        <v>5</v>
      </c>
      <c r="C17" s="4">
        <v>16.0</v>
      </c>
      <c r="D17" s="3" t="s">
        <v>21</v>
      </c>
    </row>
    <row r="18">
      <c r="A18" s="9" t="s">
        <v>4</v>
      </c>
      <c r="B18" s="3" t="s">
        <v>5</v>
      </c>
      <c r="C18" s="4">
        <v>17.0</v>
      </c>
      <c r="D18" s="3" t="s">
        <v>22</v>
      </c>
    </row>
    <row r="19">
      <c r="A19" s="9" t="s">
        <v>4</v>
      </c>
      <c r="B19" s="3" t="s">
        <v>5</v>
      </c>
      <c r="C19" s="4">
        <v>18.0</v>
      </c>
      <c r="D19" s="3" t="s">
        <v>23</v>
      </c>
    </row>
    <row r="20">
      <c r="A20" s="9" t="s">
        <v>4</v>
      </c>
      <c r="B20" s="3" t="s">
        <v>5</v>
      </c>
      <c r="C20" s="4">
        <v>19.0</v>
      </c>
      <c r="D20" s="3" t="s">
        <v>24</v>
      </c>
    </row>
    <row r="21" ht="15.75" customHeight="1">
      <c r="A21" s="9" t="s">
        <v>4</v>
      </c>
      <c r="B21" s="3" t="s">
        <v>5</v>
      </c>
      <c r="C21" s="4">
        <v>20.0</v>
      </c>
      <c r="D21" s="3" t="s">
        <v>25</v>
      </c>
    </row>
    <row r="22" ht="15.75" customHeight="1">
      <c r="A22" s="9" t="s">
        <v>26</v>
      </c>
      <c r="B22" s="3" t="s">
        <v>27</v>
      </c>
      <c r="C22" s="4">
        <v>1.0</v>
      </c>
      <c r="D22" s="3" t="s">
        <v>28</v>
      </c>
    </row>
    <row r="23" ht="15.75" customHeight="1">
      <c r="A23" s="9" t="s">
        <v>26</v>
      </c>
      <c r="B23" s="3" t="s">
        <v>27</v>
      </c>
      <c r="C23" s="4">
        <v>2.0</v>
      </c>
      <c r="D23" s="3" t="s">
        <v>29</v>
      </c>
    </row>
    <row r="24" ht="15.75" customHeight="1">
      <c r="A24" s="9" t="s">
        <v>26</v>
      </c>
      <c r="B24" s="3" t="s">
        <v>27</v>
      </c>
      <c r="C24" s="4">
        <v>3.0</v>
      </c>
      <c r="D24" s="3" t="s">
        <v>30</v>
      </c>
    </row>
    <row r="25" ht="15.75" customHeight="1">
      <c r="A25" s="9" t="s">
        <v>26</v>
      </c>
      <c r="B25" s="3" t="s">
        <v>27</v>
      </c>
      <c r="C25" s="4">
        <v>4.0</v>
      </c>
      <c r="D25" s="3" t="s">
        <v>31</v>
      </c>
    </row>
    <row r="26" ht="15.75" customHeight="1">
      <c r="A26" s="9" t="s">
        <v>26</v>
      </c>
      <c r="B26" s="3" t="s">
        <v>27</v>
      </c>
      <c r="C26" s="4">
        <v>5.0</v>
      </c>
      <c r="D26" s="3" t="s">
        <v>32</v>
      </c>
    </row>
    <row r="27" ht="15.75" customHeight="1">
      <c r="A27" s="9" t="s">
        <v>26</v>
      </c>
      <c r="B27" s="3" t="s">
        <v>27</v>
      </c>
      <c r="C27" s="4">
        <v>6.0</v>
      </c>
      <c r="D27" s="3" t="s">
        <v>33</v>
      </c>
    </row>
    <row r="28" ht="15.75" customHeight="1">
      <c r="A28" s="9" t="s">
        <v>26</v>
      </c>
      <c r="B28" s="3" t="s">
        <v>27</v>
      </c>
      <c r="C28" s="4">
        <v>7.0</v>
      </c>
      <c r="D28" s="3" t="s">
        <v>34</v>
      </c>
    </row>
    <row r="29" ht="15.75" customHeight="1">
      <c r="A29" s="9" t="s">
        <v>26</v>
      </c>
      <c r="B29" s="3" t="s">
        <v>27</v>
      </c>
      <c r="C29" s="4">
        <v>8.0</v>
      </c>
      <c r="D29" s="3" t="s">
        <v>35</v>
      </c>
    </row>
    <row r="30" ht="15.75" customHeight="1">
      <c r="A30" s="9" t="s">
        <v>26</v>
      </c>
      <c r="B30" s="3" t="s">
        <v>27</v>
      </c>
      <c r="C30" s="4">
        <v>9.0</v>
      </c>
      <c r="D30" s="3" t="s">
        <v>36</v>
      </c>
    </row>
    <row r="31" ht="15.75" customHeight="1">
      <c r="A31" s="9" t="s">
        <v>26</v>
      </c>
      <c r="B31" s="3" t="s">
        <v>27</v>
      </c>
      <c r="C31" s="4">
        <v>10.0</v>
      </c>
      <c r="D31" s="3" t="s">
        <v>37</v>
      </c>
    </row>
    <row r="32" ht="15.75" customHeight="1">
      <c r="A32" s="9" t="s">
        <v>26</v>
      </c>
      <c r="B32" s="3" t="s">
        <v>27</v>
      </c>
      <c r="C32" s="4">
        <v>11.0</v>
      </c>
      <c r="D32" s="3" t="s">
        <v>38</v>
      </c>
    </row>
    <row r="33" ht="15.75" customHeight="1">
      <c r="A33" s="9" t="s">
        <v>26</v>
      </c>
      <c r="B33" s="3" t="s">
        <v>27</v>
      </c>
      <c r="C33" s="4">
        <v>12.0</v>
      </c>
      <c r="D33" s="3" t="s">
        <v>39</v>
      </c>
    </row>
    <row r="34" ht="15.75" customHeight="1">
      <c r="A34" s="9" t="s">
        <v>26</v>
      </c>
      <c r="B34" s="3" t="s">
        <v>27</v>
      </c>
      <c r="C34" s="4">
        <v>13.0</v>
      </c>
      <c r="D34" s="3" t="s">
        <v>6</v>
      </c>
    </row>
    <row r="35" ht="15.75" customHeight="1">
      <c r="A35" s="9" t="s">
        <v>26</v>
      </c>
      <c r="B35" s="3" t="s">
        <v>27</v>
      </c>
      <c r="C35" s="4">
        <v>14.0</v>
      </c>
      <c r="D35" s="3" t="s">
        <v>40</v>
      </c>
    </row>
    <row r="36" ht="15.75" customHeight="1">
      <c r="A36" s="9" t="s">
        <v>26</v>
      </c>
      <c r="B36" s="3" t="s">
        <v>27</v>
      </c>
      <c r="C36" s="4">
        <v>15.0</v>
      </c>
      <c r="D36" s="3" t="s">
        <v>41</v>
      </c>
    </row>
    <row r="37" ht="15.75" customHeight="1">
      <c r="A37" s="9" t="s">
        <v>26</v>
      </c>
      <c r="B37" s="3" t="s">
        <v>27</v>
      </c>
      <c r="C37" s="4">
        <v>16.0</v>
      </c>
      <c r="D37" s="3" t="s">
        <v>42</v>
      </c>
    </row>
    <row r="38" ht="15.75" customHeight="1">
      <c r="A38" s="9" t="s">
        <v>26</v>
      </c>
      <c r="B38" s="3" t="s">
        <v>27</v>
      </c>
      <c r="C38" s="4">
        <v>17.0</v>
      </c>
      <c r="D38" s="3" t="s">
        <v>43</v>
      </c>
    </row>
    <row r="39" ht="15.75" customHeight="1">
      <c r="A39" s="5" t="s">
        <v>26</v>
      </c>
      <c r="B39" s="6" t="s">
        <v>27</v>
      </c>
      <c r="C39" s="7">
        <v>18.0</v>
      </c>
      <c r="D39" s="6" t="s">
        <v>44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9" t="s">
        <v>26</v>
      </c>
      <c r="B40" s="3" t="s">
        <v>27</v>
      </c>
      <c r="C40" s="4">
        <v>19.0</v>
      </c>
      <c r="D40" s="3" t="s">
        <v>45</v>
      </c>
    </row>
    <row r="41" ht="15.75" customHeight="1">
      <c r="A41" s="9" t="s">
        <v>26</v>
      </c>
      <c r="B41" s="3" t="s">
        <v>27</v>
      </c>
      <c r="C41" s="4">
        <v>20.0</v>
      </c>
      <c r="D41" s="3" t="s">
        <v>46</v>
      </c>
    </row>
    <row r="42" ht="15.75" customHeight="1">
      <c r="A42" s="9" t="s">
        <v>26</v>
      </c>
      <c r="B42" s="3" t="s">
        <v>27</v>
      </c>
      <c r="C42" s="4">
        <v>21.0</v>
      </c>
      <c r="D42" s="3" t="s">
        <v>47</v>
      </c>
    </row>
    <row r="43" ht="15.75" customHeight="1">
      <c r="A43" s="9" t="s">
        <v>26</v>
      </c>
      <c r="B43" s="3" t="s">
        <v>27</v>
      </c>
      <c r="C43" s="4">
        <v>22.0</v>
      </c>
      <c r="D43" s="3" t="s">
        <v>48</v>
      </c>
    </row>
    <row r="44" ht="15.75" customHeight="1">
      <c r="A44" s="9" t="s">
        <v>26</v>
      </c>
      <c r="B44" s="3" t="s">
        <v>27</v>
      </c>
      <c r="C44" s="4">
        <v>23.0</v>
      </c>
      <c r="D44" s="3" t="s">
        <v>49</v>
      </c>
    </row>
    <row r="45" ht="15.75" customHeight="1">
      <c r="A45" s="9" t="s">
        <v>26</v>
      </c>
      <c r="B45" s="3" t="s">
        <v>27</v>
      </c>
      <c r="C45" s="4">
        <v>24.0</v>
      </c>
      <c r="D45" s="3" t="s">
        <v>50</v>
      </c>
    </row>
    <row r="46" ht="15.75" customHeight="1">
      <c r="A46" s="9" t="s">
        <v>26</v>
      </c>
      <c r="B46" s="3" t="s">
        <v>27</v>
      </c>
      <c r="C46" s="4">
        <v>25.0</v>
      </c>
      <c r="D46" s="3" t="s">
        <v>51</v>
      </c>
    </row>
    <row r="47" ht="15.75" customHeight="1">
      <c r="A47" s="9" t="s">
        <v>26</v>
      </c>
      <c r="B47" s="3" t="s">
        <v>27</v>
      </c>
      <c r="C47" s="4">
        <v>26.0</v>
      </c>
      <c r="D47" s="3" t="s">
        <v>52</v>
      </c>
    </row>
    <row r="48" ht="15.75" customHeight="1">
      <c r="A48" s="9" t="s">
        <v>26</v>
      </c>
      <c r="B48" s="3" t="s">
        <v>27</v>
      </c>
      <c r="C48" s="4">
        <v>27.0</v>
      </c>
      <c r="D48" s="3" t="s">
        <v>53</v>
      </c>
    </row>
    <row r="49" ht="15.75" customHeight="1">
      <c r="A49" s="9" t="s">
        <v>54</v>
      </c>
      <c r="B49" s="3" t="s">
        <v>55</v>
      </c>
      <c r="C49" s="4">
        <v>1.0</v>
      </c>
      <c r="D49" s="3" t="s">
        <v>56</v>
      </c>
    </row>
    <row r="50" ht="15.75" customHeight="1">
      <c r="A50" s="9" t="s">
        <v>54</v>
      </c>
      <c r="B50" s="3" t="s">
        <v>55</v>
      </c>
      <c r="C50" s="4">
        <v>2.0</v>
      </c>
      <c r="D50" s="3" t="s">
        <v>57</v>
      </c>
    </row>
    <row r="51" ht="15.75" customHeight="1">
      <c r="A51" s="9" t="s">
        <v>54</v>
      </c>
      <c r="B51" s="3" t="s">
        <v>55</v>
      </c>
      <c r="C51" s="4">
        <v>3.0</v>
      </c>
      <c r="D51" s="3" t="s">
        <v>58</v>
      </c>
    </row>
    <row r="52" ht="15.75" customHeight="1">
      <c r="A52" s="9" t="s">
        <v>54</v>
      </c>
      <c r="B52" s="3" t="s">
        <v>55</v>
      </c>
      <c r="C52" s="4">
        <v>4.0</v>
      </c>
      <c r="D52" s="3" t="s">
        <v>59</v>
      </c>
    </row>
    <row r="53" ht="15.75" customHeight="1">
      <c r="A53" s="5" t="s">
        <v>54</v>
      </c>
      <c r="B53" s="6" t="s">
        <v>55</v>
      </c>
      <c r="C53" s="7">
        <v>5.0</v>
      </c>
      <c r="D53" s="6" t="s">
        <v>60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9" t="s">
        <v>54</v>
      </c>
      <c r="B54" s="3" t="s">
        <v>55</v>
      </c>
      <c r="C54" s="4">
        <v>6.0</v>
      </c>
      <c r="D54" s="3" t="s">
        <v>61</v>
      </c>
    </row>
    <row r="55" ht="15.75" customHeight="1">
      <c r="A55" s="9" t="s">
        <v>54</v>
      </c>
      <c r="B55" s="3" t="s">
        <v>55</v>
      </c>
      <c r="C55" s="4">
        <v>7.0</v>
      </c>
      <c r="D55" s="3" t="s">
        <v>62</v>
      </c>
    </row>
    <row r="56" ht="15.75" customHeight="1">
      <c r="A56" s="9" t="s">
        <v>54</v>
      </c>
      <c r="B56" s="3" t="s">
        <v>55</v>
      </c>
      <c r="C56" s="4">
        <v>8.0</v>
      </c>
      <c r="D56" s="3" t="s">
        <v>63</v>
      </c>
    </row>
    <row r="57" ht="15.75" customHeight="1">
      <c r="A57" s="9" t="s">
        <v>54</v>
      </c>
      <c r="B57" s="3" t="s">
        <v>55</v>
      </c>
      <c r="C57" s="4">
        <v>9.0</v>
      </c>
      <c r="D57" s="3" t="s">
        <v>64</v>
      </c>
    </row>
    <row r="58" ht="15.75" customHeight="1">
      <c r="A58" s="9" t="s">
        <v>54</v>
      </c>
      <c r="B58" s="3" t="s">
        <v>55</v>
      </c>
      <c r="C58" s="4">
        <v>10.0</v>
      </c>
      <c r="D58" s="3" t="s">
        <v>65</v>
      </c>
    </row>
    <row r="59" ht="15.75" customHeight="1">
      <c r="A59" s="9" t="s">
        <v>54</v>
      </c>
      <c r="B59" s="3" t="s">
        <v>55</v>
      </c>
      <c r="C59" s="4">
        <v>11.0</v>
      </c>
      <c r="D59" s="3" t="s">
        <v>66</v>
      </c>
    </row>
    <row r="60" ht="15.75" customHeight="1">
      <c r="A60" s="9" t="s">
        <v>54</v>
      </c>
      <c r="B60" s="3" t="s">
        <v>55</v>
      </c>
      <c r="C60" s="4">
        <v>12.0</v>
      </c>
      <c r="D60" s="3" t="s">
        <v>67</v>
      </c>
    </row>
    <row r="61" ht="15.75" customHeight="1">
      <c r="A61" s="9" t="s">
        <v>54</v>
      </c>
      <c r="B61" s="3" t="s">
        <v>55</v>
      </c>
      <c r="C61" s="4">
        <v>13.0</v>
      </c>
      <c r="D61" s="3" t="s">
        <v>68</v>
      </c>
    </row>
    <row r="62" ht="15.75" customHeight="1">
      <c r="A62" s="9" t="s">
        <v>54</v>
      </c>
      <c r="B62" s="3" t="s">
        <v>55</v>
      </c>
      <c r="C62" s="4">
        <v>14.0</v>
      </c>
      <c r="D62" s="3" t="s">
        <v>69</v>
      </c>
    </row>
    <row r="63" ht="15.75" customHeight="1">
      <c r="A63" s="9" t="s">
        <v>54</v>
      </c>
      <c r="B63" s="3" t="s">
        <v>55</v>
      </c>
      <c r="C63" s="4">
        <v>15.0</v>
      </c>
      <c r="D63" s="3" t="s">
        <v>70</v>
      </c>
    </row>
    <row r="64" ht="15.75" customHeight="1">
      <c r="A64" s="9" t="s">
        <v>54</v>
      </c>
      <c r="B64" s="3" t="s">
        <v>55</v>
      </c>
      <c r="C64" s="4">
        <v>16.0</v>
      </c>
      <c r="D64" s="3" t="s">
        <v>71</v>
      </c>
    </row>
    <row r="65" ht="15.75" customHeight="1">
      <c r="A65" s="9" t="s">
        <v>54</v>
      </c>
      <c r="B65" s="3" t="s">
        <v>55</v>
      </c>
      <c r="C65" s="4">
        <v>17.0</v>
      </c>
      <c r="D65" s="3" t="s">
        <v>72</v>
      </c>
    </row>
    <row r="66" ht="15.75" customHeight="1">
      <c r="A66" s="9" t="s">
        <v>54</v>
      </c>
      <c r="B66" s="3" t="s">
        <v>55</v>
      </c>
      <c r="C66" s="4">
        <v>18.0</v>
      </c>
      <c r="D66" s="3" t="s">
        <v>73</v>
      </c>
    </row>
    <row r="67" ht="15.75" customHeight="1">
      <c r="A67" s="9" t="s">
        <v>54</v>
      </c>
      <c r="B67" s="3" t="s">
        <v>55</v>
      </c>
      <c r="C67" s="4">
        <v>19.0</v>
      </c>
      <c r="D67" s="3" t="s">
        <v>74</v>
      </c>
    </row>
    <row r="68" ht="15.75" customHeight="1">
      <c r="A68" s="9" t="s">
        <v>54</v>
      </c>
      <c r="B68" s="3" t="s">
        <v>55</v>
      </c>
      <c r="C68" s="4">
        <v>20.0</v>
      </c>
      <c r="D68" s="3" t="s">
        <v>75</v>
      </c>
    </row>
    <row r="69" ht="15.75" customHeight="1">
      <c r="A69" s="9" t="s">
        <v>54</v>
      </c>
      <c r="B69" s="3" t="s">
        <v>55</v>
      </c>
      <c r="C69" s="4">
        <v>21.0</v>
      </c>
      <c r="D69" s="3" t="s">
        <v>76</v>
      </c>
    </row>
    <row r="70" ht="15.75" customHeight="1">
      <c r="A70" s="9" t="s">
        <v>54</v>
      </c>
      <c r="B70" s="3" t="s">
        <v>55</v>
      </c>
      <c r="C70" s="4">
        <v>22.0</v>
      </c>
      <c r="D70" s="3" t="s">
        <v>77</v>
      </c>
    </row>
    <row r="71" ht="15.75" customHeight="1">
      <c r="A71" s="9" t="s">
        <v>54</v>
      </c>
      <c r="B71" s="3" t="s">
        <v>55</v>
      </c>
      <c r="C71" s="4">
        <v>23.0</v>
      </c>
      <c r="D71" s="3" t="s">
        <v>78</v>
      </c>
    </row>
    <row r="72" ht="15.75" customHeight="1">
      <c r="A72" s="9" t="s">
        <v>54</v>
      </c>
      <c r="B72" s="3" t="s">
        <v>55</v>
      </c>
      <c r="C72" s="4">
        <v>24.0</v>
      </c>
      <c r="D72" s="3" t="s">
        <v>79</v>
      </c>
    </row>
    <row r="73" ht="15.75" customHeight="1">
      <c r="A73" s="9" t="s">
        <v>54</v>
      </c>
      <c r="B73" s="3" t="s">
        <v>55</v>
      </c>
      <c r="C73" s="4">
        <v>25.0</v>
      </c>
      <c r="D73" s="3" t="s">
        <v>80</v>
      </c>
    </row>
    <row r="74" ht="15.75" customHeight="1">
      <c r="A74" s="9" t="s">
        <v>54</v>
      </c>
      <c r="B74" s="3" t="s">
        <v>55</v>
      </c>
      <c r="C74" s="4">
        <v>26.0</v>
      </c>
      <c r="D74" s="3" t="s">
        <v>81</v>
      </c>
    </row>
    <row r="75" ht="15.75" customHeight="1">
      <c r="A75" s="9" t="s">
        <v>82</v>
      </c>
      <c r="B75" s="3" t="s">
        <v>83</v>
      </c>
      <c r="C75" s="4">
        <v>1.0</v>
      </c>
      <c r="D75" s="3" t="s">
        <v>6</v>
      </c>
    </row>
    <row r="76" ht="15.75" customHeight="1">
      <c r="A76" s="5" t="s">
        <v>82</v>
      </c>
      <c r="B76" s="6" t="s">
        <v>83</v>
      </c>
      <c r="C76" s="7">
        <v>2.0</v>
      </c>
      <c r="D76" s="6" t="s">
        <v>84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9" t="s">
        <v>82</v>
      </c>
      <c r="B77" s="3" t="s">
        <v>83</v>
      </c>
      <c r="C77" s="4">
        <v>3.0</v>
      </c>
      <c r="D77" s="3" t="s">
        <v>85</v>
      </c>
    </row>
    <row r="78" ht="15.75" customHeight="1">
      <c r="A78" s="9" t="s">
        <v>82</v>
      </c>
      <c r="B78" s="3" t="s">
        <v>83</v>
      </c>
      <c r="C78" s="4">
        <v>4.0</v>
      </c>
      <c r="D78" s="3" t="s">
        <v>86</v>
      </c>
    </row>
    <row r="79" ht="15.75" customHeight="1">
      <c r="A79" s="9" t="s">
        <v>82</v>
      </c>
      <c r="B79" s="3" t="s">
        <v>83</v>
      </c>
      <c r="C79" s="4">
        <v>5.0</v>
      </c>
      <c r="D79" s="3" t="s">
        <v>87</v>
      </c>
    </row>
    <row r="80" ht="15.75" customHeight="1">
      <c r="A80" s="9" t="s">
        <v>82</v>
      </c>
      <c r="B80" s="3" t="s">
        <v>83</v>
      </c>
      <c r="C80" s="4">
        <v>6.0</v>
      </c>
      <c r="D80" s="3" t="s">
        <v>88</v>
      </c>
    </row>
    <row r="81" ht="15.75" customHeight="1">
      <c r="A81" s="9" t="s">
        <v>82</v>
      </c>
      <c r="B81" s="3" t="s">
        <v>83</v>
      </c>
      <c r="C81" s="4">
        <v>7.0</v>
      </c>
      <c r="D81" s="3" t="s">
        <v>89</v>
      </c>
    </row>
    <row r="82" ht="15.75" customHeight="1">
      <c r="A82" s="9" t="s">
        <v>82</v>
      </c>
      <c r="B82" s="3" t="s">
        <v>83</v>
      </c>
      <c r="C82" s="4">
        <v>8.0</v>
      </c>
      <c r="D82" s="3" t="s">
        <v>90</v>
      </c>
    </row>
    <row r="83" ht="15.75" customHeight="1">
      <c r="A83" s="9" t="s">
        <v>82</v>
      </c>
      <c r="B83" s="3" t="s">
        <v>83</v>
      </c>
      <c r="C83" s="4">
        <v>9.0</v>
      </c>
      <c r="D83" s="3" t="s">
        <v>91</v>
      </c>
    </row>
    <row r="84" ht="15.75" customHeight="1">
      <c r="A84" s="9" t="s">
        <v>82</v>
      </c>
      <c r="B84" s="3" t="s">
        <v>83</v>
      </c>
      <c r="C84" s="4">
        <v>10.0</v>
      </c>
      <c r="D84" s="3" t="s">
        <v>92</v>
      </c>
    </row>
    <row r="85" ht="15.75" customHeight="1">
      <c r="A85" s="9" t="s">
        <v>82</v>
      </c>
      <c r="B85" s="3" t="s">
        <v>83</v>
      </c>
      <c r="C85" s="4">
        <v>11.0</v>
      </c>
      <c r="D85" s="3" t="s">
        <v>93</v>
      </c>
    </row>
    <row r="86" ht="15.75" customHeight="1">
      <c r="A86" s="9" t="s">
        <v>82</v>
      </c>
      <c r="B86" s="3" t="s">
        <v>83</v>
      </c>
      <c r="C86" s="4">
        <v>12.0</v>
      </c>
      <c r="D86" s="3" t="s">
        <v>94</v>
      </c>
    </row>
    <row r="87" ht="15.75" customHeight="1">
      <c r="A87" s="9" t="s">
        <v>82</v>
      </c>
      <c r="B87" s="3" t="s">
        <v>83</v>
      </c>
      <c r="C87" s="4">
        <v>13.0</v>
      </c>
      <c r="D87" s="3" t="s">
        <v>95</v>
      </c>
    </row>
    <row r="88" ht="15.75" customHeight="1">
      <c r="A88" s="9" t="s">
        <v>82</v>
      </c>
      <c r="B88" s="3" t="s">
        <v>83</v>
      </c>
      <c r="C88" s="4">
        <v>14.0</v>
      </c>
      <c r="D88" s="3" t="s">
        <v>96</v>
      </c>
    </row>
    <row r="89" ht="15.75" customHeight="1">
      <c r="A89" s="9" t="s">
        <v>82</v>
      </c>
      <c r="B89" s="3" t="s">
        <v>83</v>
      </c>
      <c r="C89" s="4">
        <v>15.0</v>
      </c>
      <c r="D89" s="3" t="s">
        <v>97</v>
      </c>
    </row>
    <row r="90" ht="15.75" customHeight="1">
      <c r="A90" s="9" t="s">
        <v>82</v>
      </c>
      <c r="B90" s="3" t="s">
        <v>83</v>
      </c>
      <c r="C90" s="4">
        <v>16.0</v>
      </c>
      <c r="D90" s="3" t="s">
        <v>98</v>
      </c>
    </row>
    <row r="91" ht="15.75" customHeight="1">
      <c r="A91" s="9" t="s">
        <v>82</v>
      </c>
      <c r="B91" s="3" t="s">
        <v>83</v>
      </c>
      <c r="C91" s="4">
        <v>17.0</v>
      </c>
      <c r="D91" s="3" t="s">
        <v>99</v>
      </c>
    </row>
    <row r="92" ht="15.75" customHeight="1">
      <c r="A92" s="9" t="s">
        <v>82</v>
      </c>
      <c r="B92" s="3" t="s">
        <v>83</v>
      </c>
      <c r="C92" s="4">
        <v>18.0</v>
      </c>
      <c r="D92" s="3" t="s">
        <v>100</v>
      </c>
    </row>
    <row r="93" ht="15.75" customHeight="1">
      <c r="A93" s="9" t="s">
        <v>82</v>
      </c>
      <c r="B93" s="3" t="s">
        <v>83</v>
      </c>
      <c r="C93" s="4">
        <v>19.0</v>
      </c>
      <c r="D93" s="3" t="s">
        <v>101</v>
      </c>
    </row>
    <row r="94" ht="15.75" customHeight="1">
      <c r="A94" s="9" t="s">
        <v>82</v>
      </c>
      <c r="B94" s="3" t="s">
        <v>83</v>
      </c>
      <c r="C94" s="4">
        <v>20.0</v>
      </c>
      <c r="D94" s="3" t="s">
        <v>102</v>
      </c>
    </row>
    <row r="95" ht="15.75" customHeight="1">
      <c r="A95" s="9" t="s">
        <v>82</v>
      </c>
      <c r="B95" s="3" t="s">
        <v>83</v>
      </c>
      <c r="C95" s="4">
        <v>21.0</v>
      </c>
      <c r="D95" s="3" t="s">
        <v>103</v>
      </c>
    </row>
    <row r="96" ht="15.75" customHeight="1">
      <c r="A96" s="9" t="s">
        <v>82</v>
      </c>
      <c r="B96" s="3" t="s">
        <v>83</v>
      </c>
      <c r="C96" s="4">
        <v>22.0</v>
      </c>
      <c r="D96" s="3" t="s">
        <v>104</v>
      </c>
    </row>
    <row r="97" ht="15.75" customHeight="1">
      <c r="A97" s="9" t="s">
        <v>105</v>
      </c>
      <c r="B97" s="3" t="s">
        <v>106</v>
      </c>
      <c r="C97" s="4">
        <v>1.0</v>
      </c>
      <c r="D97" s="3" t="s">
        <v>107</v>
      </c>
    </row>
    <row r="98" ht="15.75" customHeight="1">
      <c r="A98" s="9" t="s">
        <v>105</v>
      </c>
      <c r="B98" s="3" t="s">
        <v>106</v>
      </c>
      <c r="C98" s="4">
        <v>2.0</v>
      </c>
      <c r="D98" s="3" t="s">
        <v>108</v>
      </c>
    </row>
    <row r="99" ht="15.75" customHeight="1">
      <c r="A99" s="5" t="s">
        <v>105</v>
      </c>
      <c r="B99" s="6" t="s">
        <v>106</v>
      </c>
      <c r="C99" s="7">
        <v>3.0</v>
      </c>
      <c r="D99" s="6" t="s">
        <v>109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9" t="s">
        <v>105</v>
      </c>
      <c r="B100" s="3" t="s">
        <v>106</v>
      </c>
      <c r="C100" s="4">
        <v>4.0</v>
      </c>
      <c r="D100" s="3" t="s">
        <v>110</v>
      </c>
    </row>
    <row r="101" ht="15.75" customHeight="1">
      <c r="A101" s="9" t="s">
        <v>105</v>
      </c>
      <c r="B101" s="3" t="s">
        <v>106</v>
      </c>
      <c r="C101" s="4">
        <v>5.0</v>
      </c>
      <c r="D101" s="3" t="s">
        <v>111</v>
      </c>
    </row>
    <row r="102" ht="15.75" customHeight="1">
      <c r="A102" s="9" t="s">
        <v>105</v>
      </c>
      <c r="B102" s="3" t="s">
        <v>106</v>
      </c>
      <c r="C102" s="4">
        <v>6.0</v>
      </c>
      <c r="D102" s="3" t="s">
        <v>112</v>
      </c>
    </row>
    <row r="103" ht="15.75" customHeight="1">
      <c r="A103" s="9" t="s">
        <v>105</v>
      </c>
      <c r="B103" s="3" t="s">
        <v>106</v>
      </c>
      <c r="C103" s="4">
        <v>7.0</v>
      </c>
      <c r="D103" s="3" t="s">
        <v>113</v>
      </c>
    </row>
    <row r="104" ht="15.75" customHeight="1">
      <c r="A104" s="9" t="s">
        <v>105</v>
      </c>
      <c r="B104" s="3" t="s">
        <v>106</v>
      </c>
      <c r="C104" s="4">
        <v>8.0</v>
      </c>
      <c r="D104" s="3" t="s">
        <v>114</v>
      </c>
    </row>
    <row r="105" ht="15.75" customHeight="1">
      <c r="A105" s="9" t="s">
        <v>105</v>
      </c>
      <c r="B105" s="3" t="s">
        <v>106</v>
      </c>
      <c r="C105" s="4">
        <v>9.0</v>
      </c>
      <c r="D105" s="3" t="s">
        <v>115</v>
      </c>
    </row>
    <row r="106" ht="15.75" customHeight="1">
      <c r="A106" s="9" t="s">
        <v>105</v>
      </c>
      <c r="B106" s="3" t="s">
        <v>106</v>
      </c>
      <c r="C106" s="4">
        <v>10.0</v>
      </c>
      <c r="D106" s="3" t="s">
        <v>116</v>
      </c>
    </row>
    <row r="107" ht="15.75" customHeight="1">
      <c r="A107" s="9" t="s">
        <v>105</v>
      </c>
      <c r="B107" s="3" t="s">
        <v>106</v>
      </c>
      <c r="C107" s="4">
        <v>11.0</v>
      </c>
      <c r="D107" s="3" t="s">
        <v>117</v>
      </c>
    </row>
    <row r="108" ht="15.75" customHeight="1">
      <c r="A108" s="9" t="s">
        <v>105</v>
      </c>
      <c r="B108" s="3" t="s">
        <v>106</v>
      </c>
      <c r="C108" s="4">
        <v>12.0</v>
      </c>
      <c r="D108" s="3" t="s">
        <v>118</v>
      </c>
    </row>
    <row r="109" ht="15.75" customHeight="1">
      <c r="A109" s="9" t="s">
        <v>105</v>
      </c>
      <c r="B109" s="3" t="s">
        <v>106</v>
      </c>
      <c r="C109" s="4">
        <v>13.0</v>
      </c>
      <c r="D109" s="3" t="s">
        <v>119</v>
      </c>
    </row>
    <row r="110" ht="15.75" customHeight="1">
      <c r="A110" s="9" t="s">
        <v>105</v>
      </c>
      <c r="B110" s="3" t="s">
        <v>106</v>
      </c>
      <c r="C110" s="4">
        <v>14.0</v>
      </c>
      <c r="D110" s="3" t="s">
        <v>120</v>
      </c>
    </row>
    <row r="111" ht="15.75" customHeight="1">
      <c r="A111" s="9" t="s">
        <v>105</v>
      </c>
      <c r="B111" s="3" t="s">
        <v>106</v>
      </c>
      <c r="C111" s="4">
        <v>15.0</v>
      </c>
      <c r="D111" s="3" t="s">
        <v>121</v>
      </c>
    </row>
    <row r="112" ht="15.75" customHeight="1">
      <c r="A112" s="9" t="s">
        <v>122</v>
      </c>
      <c r="B112" s="3" t="s">
        <v>123</v>
      </c>
      <c r="C112" s="4">
        <v>1.0</v>
      </c>
      <c r="D112" s="3" t="s">
        <v>124</v>
      </c>
    </row>
    <row r="113" ht="15.75" customHeight="1">
      <c r="A113" s="9" t="s">
        <v>122</v>
      </c>
      <c r="B113" s="3" t="s">
        <v>123</v>
      </c>
      <c r="C113" s="4">
        <v>2.0</v>
      </c>
      <c r="D113" s="3" t="s">
        <v>125</v>
      </c>
    </row>
    <row r="114" ht="15.75" customHeight="1">
      <c r="A114" s="9" t="s">
        <v>122</v>
      </c>
      <c r="B114" s="3" t="s">
        <v>123</v>
      </c>
      <c r="C114" s="4">
        <v>3.0</v>
      </c>
      <c r="D114" s="3" t="s">
        <v>126</v>
      </c>
    </row>
    <row r="115" ht="15.75" customHeight="1">
      <c r="A115" s="9" t="s">
        <v>122</v>
      </c>
      <c r="B115" s="3" t="s">
        <v>123</v>
      </c>
      <c r="C115" s="4">
        <v>4.0</v>
      </c>
      <c r="D115" s="3" t="s">
        <v>127</v>
      </c>
    </row>
    <row r="116" ht="15.75" customHeight="1">
      <c r="A116" s="9" t="s">
        <v>122</v>
      </c>
      <c r="B116" s="3" t="s">
        <v>123</v>
      </c>
      <c r="C116" s="4">
        <v>5.0</v>
      </c>
      <c r="D116" s="3" t="s">
        <v>128</v>
      </c>
    </row>
    <row r="117" ht="15.75" customHeight="1">
      <c r="A117" s="9" t="s">
        <v>122</v>
      </c>
      <c r="B117" s="3" t="s">
        <v>123</v>
      </c>
      <c r="C117" s="4">
        <v>6.0</v>
      </c>
      <c r="D117" s="3" t="s">
        <v>129</v>
      </c>
    </row>
    <row r="118" ht="15.75" customHeight="1">
      <c r="A118" s="9" t="s">
        <v>122</v>
      </c>
      <c r="B118" s="3" t="s">
        <v>123</v>
      </c>
      <c r="C118" s="4">
        <v>7.0</v>
      </c>
      <c r="D118" s="3" t="s">
        <v>130</v>
      </c>
    </row>
    <row r="119" ht="15.75" customHeight="1">
      <c r="A119" s="9" t="s">
        <v>122</v>
      </c>
      <c r="B119" s="3" t="s">
        <v>123</v>
      </c>
      <c r="C119" s="4">
        <v>8.0</v>
      </c>
      <c r="D119" s="3" t="s">
        <v>131</v>
      </c>
    </row>
    <row r="120" ht="15.75" customHeight="1">
      <c r="A120" s="9" t="s">
        <v>122</v>
      </c>
      <c r="B120" s="3" t="s">
        <v>123</v>
      </c>
      <c r="C120" s="4">
        <v>9.0</v>
      </c>
      <c r="D120" s="3" t="s">
        <v>132</v>
      </c>
    </row>
    <row r="121" ht="15.75" customHeight="1">
      <c r="A121" s="5" t="s">
        <v>122</v>
      </c>
      <c r="B121" s="6" t="s">
        <v>123</v>
      </c>
      <c r="C121" s="7">
        <v>10.0</v>
      </c>
      <c r="D121" s="6" t="s">
        <v>133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1"/>
  <conditionalFormatting sqref="A2:D121">
    <cfRule type="expression" dxfId="0" priority="1">
      <formula>#REF!="✓"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4.0"/>
    <col customWidth="1" min="4" max="4" width="16.0"/>
    <col customWidth="1" min="5" max="26" width="8.71"/>
  </cols>
  <sheetData>
    <row r="1" ht="27.75" customHeight="1">
      <c r="A1" s="10" t="s">
        <v>134</v>
      </c>
    </row>
    <row r="3">
      <c r="A3" s="1" t="s">
        <v>0</v>
      </c>
      <c r="B3" s="1" t="s">
        <v>135</v>
      </c>
      <c r="C3" s="1" t="s">
        <v>136</v>
      </c>
      <c r="D3" s="1" t="s">
        <v>137</v>
      </c>
    </row>
    <row r="4">
      <c r="A4" s="3" t="s">
        <v>138</v>
      </c>
      <c r="B4" s="4">
        <v>20.0</v>
      </c>
      <c r="C4" s="4" t="str">
        <f>COUNTIFS('Canciones LDS'!A:A,"CD 1",#REF!,"✓")</f>
        <v>#VALUE!</v>
      </c>
      <c r="D4" s="11">
        <f t="shared" ref="D4:D10" si="1">IFERROR(C4/B4,0)</f>
        <v>0</v>
      </c>
    </row>
    <row r="5">
      <c r="A5" s="3" t="s">
        <v>139</v>
      </c>
      <c r="B5" s="4">
        <v>27.0</v>
      </c>
      <c r="C5" s="4" t="str">
        <f>COUNTIFS('Canciones LDS'!A:A,"CD 2",#REF!,"✓")</f>
        <v>#VALUE!</v>
      </c>
      <c r="D5" s="11">
        <f t="shared" si="1"/>
        <v>0</v>
      </c>
    </row>
    <row r="6">
      <c r="A6" s="3" t="s">
        <v>140</v>
      </c>
      <c r="B6" s="4">
        <v>26.0</v>
      </c>
      <c r="C6" s="4" t="str">
        <f>COUNTIFS('Canciones LDS'!A:A,"CD 3",#REF!,"✓")</f>
        <v>#VALUE!</v>
      </c>
      <c r="D6" s="11">
        <f t="shared" si="1"/>
        <v>0</v>
      </c>
    </row>
    <row r="7">
      <c r="A7" s="3" t="s">
        <v>141</v>
      </c>
      <c r="B7" s="4">
        <v>22.0</v>
      </c>
      <c r="C7" s="4" t="str">
        <f>COUNTIFS('Canciones LDS'!A:A,"CD 4",#REF!,"✓")</f>
        <v>#VALUE!</v>
      </c>
      <c r="D7" s="11">
        <f t="shared" si="1"/>
        <v>0</v>
      </c>
    </row>
    <row r="8">
      <c r="A8" s="3" t="s">
        <v>142</v>
      </c>
      <c r="B8" s="4">
        <v>15.0</v>
      </c>
      <c r="C8" s="4" t="str">
        <f>COUNTIFS('Canciones LDS'!A:A,"CD 5",#REF!,"✓")</f>
        <v>#VALUE!</v>
      </c>
      <c r="D8" s="11">
        <f t="shared" si="1"/>
        <v>0</v>
      </c>
    </row>
    <row r="9">
      <c r="A9" s="3" t="s">
        <v>143</v>
      </c>
      <c r="B9" s="4">
        <v>10.0</v>
      </c>
      <c r="C9" s="4" t="str">
        <f>COUNTIFS('Canciones LDS'!A:A,"CD 6",#REF!,"✓")</f>
        <v>#VALUE!</v>
      </c>
      <c r="D9" s="11">
        <f t="shared" si="1"/>
        <v>0</v>
      </c>
    </row>
    <row r="10">
      <c r="A10" s="12" t="s">
        <v>144</v>
      </c>
      <c r="B10" s="1">
        <f>SUM(B4:B9)</f>
        <v>120</v>
      </c>
      <c r="C10" s="1">
        <f>COUNTIF(#REF!,"✓")</f>
        <v>0</v>
      </c>
      <c r="D10" s="13">
        <f t="shared" si="1"/>
        <v>0</v>
      </c>
    </row>
    <row r="12">
      <c r="A12" s="14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2:D12"/>
  </mergeCells>
  <printOptions/>
  <pageMargins bottom="1.0" footer="0.0" header="0.0" left="0.75" right="0.75" top="1.0"/>
  <pageSetup paperSize="9" orientation="portrait"/>
  <drawing r:id="rId1"/>
</worksheet>
</file>