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iones LDS" sheetId="1" r:id="rId5"/>
    <sheet state="visible" name="Progreso" sheetId="2" r:id="rId6"/>
  </sheets>
  <definedNames>
    <definedName hidden="1" localSheetId="0" name="_xlnm._FilterDatabase">'Canciones LDS'!$A$1:$E$121</definedName>
  </definedNames>
  <calcPr/>
</workbook>
</file>

<file path=xl/sharedStrings.xml><?xml version="1.0" encoding="utf-8"?>
<sst xmlns="http://schemas.openxmlformats.org/spreadsheetml/2006/main" count="499" uniqueCount="268">
  <si>
    <t>CD</t>
  </si>
  <si>
    <t>Álbum</t>
  </si>
  <si>
    <t>#</t>
  </si>
  <si>
    <t>Canción</t>
  </si>
  <si>
    <t>F2</t>
  </si>
  <si>
    <t>Link</t>
  </si>
  <si>
    <t>CD 1</t>
  </si>
  <si>
    <t>Cuando Canta La Sur</t>
  </si>
  <si>
    <t>Intro</t>
  </si>
  <si>
    <t>https://www.youtube.com/watch?v=m1SxnF4d3cY</t>
  </si>
  <si>
    <t>Verdolaga por siempre voy a ser</t>
  </si>
  <si>
    <t>https://www.youtube.com/watch?v=rgFRIBgWlko</t>
  </si>
  <si>
    <t>Venir a verte es amarte</t>
  </si>
  <si>
    <t>https://www.youtube.com/watch?v=e0LSQYZda80</t>
  </si>
  <si>
    <t>Vamos campeón, sos mi pasión</t>
  </si>
  <si>
    <t>https://www.youtube.com/watch?v=IZHr4hlsWFo</t>
  </si>
  <si>
    <t>Tú eres mi equipo del alma</t>
  </si>
  <si>
    <t>https://www.youtube.com/watch?v=pzBQQF5-f_o</t>
  </si>
  <si>
    <t>Qué alegría qué alegría</t>
  </si>
  <si>
    <t>https://www.youtube.com/watch?v=3Mj8oa_sWdQ</t>
  </si>
  <si>
    <t>Seguirte hasta la muerte</t>
  </si>
  <si>
    <t>https://www.youtube.com/watch?v=7gD29qcIksM</t>
  </si>
  <si>
    <t>Soy del verde</t>
  </si>
  <si>
    <t>https://www.youtube.com/watch?v=yWdsjQ2c1z0</t>
  </si>
  <si>
    <t>Todo mi pueblo está enloquecido</t>
  </si>
  <si>
    <t>https://www.youtube.com/watch?v=Sp809bGX_Xg</t>
  </si>
  <si>
    <t>Mix sureño</t>
  </si>
  <si>
    <t>https://www.youtube.com/watch?v=JpLICvEbzzU</t>
  </si>
  <si>
    <t>Mi único vicio</t>
  </si>
  <si>
    <t>https://www.youtube.com/watch?v=Akv5dV68WUo</t>
  </si>
  <si>
    <t>Mi pasión es grande</t>
  </si>
  <si>
    <t>https://www.youtube.com/watch?v=3JlSwhK5-RY</t>
  </si>
  <si>
    <t>Heavy metal dale dale verde... no le falles a tu gente</t>
  </si>
  <si>
    <t>https://www.youtube.com/watch?v=DFN_cwXcn7k</t>
  </si>
  <si>
    <t>En el corazón todos te llevamos</t>
  </si>
  <si>
    <t>https://www.youtube.com/watch?v=GH5WrFeprR0</t>
  </si>
  <si>
    <t>Empuje de un pueblo... la hinchada del verdolaga</t>
  </si>
  <si>
    <t>https://www.youtube.com/watch?v=kwjUjh2Knts</t>
  </si>
  <si>
    <t>Al campeón yo lo llevo en el corazón</t>
  </si>
  <si>
    <t>https://www.youtube.com/watch?v=J-Fp-TVS0Xc</t>
  </si>
  <si>
    <t>Barras de Nacional</t>
  </si>
  <si>
    <t>https://www.youtube.com/watch?v=x94XhUR8Phg</t>
  </si>
  <si>
    <t>Cuando canta la sur / Una vez más te venimos a alentar</t>
  </si>
  <si>
    <t>https://www.youtube.com/watch?v=LgcXtxsTiDU</t>
  </si>
  <si>
    <t>Dame una alegría</t>
  </si>
  <si>
    <t>https://www.youtube.com/watch?v=uZ4MvnMaShA</t>
  </si>
  <si>
    <t>El aguante se muestra en la tribuna</t>
  </si>
  <si>
    <t>https://www.youtube.com/watch?v=8BTSS_u9vm8</t>
  </si>
  <si>
    <t>CD 2</t>
  </si>
  <si>
    <t>El Orgullo de Ser Verdolaga</t>
  </si>
  <si>
    <t>Agradecimiento a los hinchas</t>
  </si>
  <si>
    <t>https://www.youtube.com/watch?v=NJ0VQC0WskI</t>
  </si>
  <si>
    <t>Yo soy sureño, el mundo me hizo así</t>
  </si>
  <si>
    <t>https://www.youtube.com/watch?v=Sg0dpTCKaFs</t>
  </si>
  <si>
    <t>Remix pregón sureño</t>
  </si>
  <si>
    <t>https://www.youtube.com/watch?v=KWXwTIhQcpo</t>
  </si>
  <si>
    <t>Y vamos los verdolagas</t>
  </si>
  <si>
    <t>https://www.youtube.com/watch?v=cDFPRaXrGY8</t>
  </si>
  <si>
    <t>Soy Verdolaga</t>
  </si>
  <si>
    <t>https://www.youtube.com/watch?v=Q8fSOg4_ukY</t>
  </si>
  <si>
    <t>Sírvame un chorro de guaro</t>
  </si>
  <si>
    <t>https://www.youtube.com/watch?v=4IuWDpbPPSg</t>
  </si>
  <si>
    <t>Sabes que te amo</t>
  </si>
  <si>
    <t>https://www.youtube.com/watch?v=kIqCshLi8bw</t>
  </si>
  <si>
    <t>Relajo sureño</t>
  </si>
  <si>
    <t>https://www.youtube.com/watch?v=FR56j_-0-GU</t>
  </si>
  <si>
    <t>Preso de una pasión</t>
  </si>
  <si>
    <t>https://www.youtube.com/watch?v=rvCSmIK42uk</t>
  </si>
  <si>
    <t>Porque soy del verde... porque soy sureño</t>
  </si>
  <si>
    <t>https://www.youtube.com/watch?v=Kk33dWQuPD4</t>
  </si>
  <si>
    <t>Por vos me muero</t>
  </si>
  <si>
    <t>https://www.youtube.com/watch?v=zPXTbBfN8Hg</t>
  </si>
  <si>
    <t>Por las tantas glorias</t>
  </si>
  <si>
    <t>https://www.youtube.com/watch?v=ElGWEfBS6Ak</t>
  </si>
  <si>
    <t>https://www.youtube.com/watch?v=dRwArZkuQFk</t>
  </si>
  <si>
    <t>Aunque haya gente que no nos quiera</t>
  </si>
  <si>
    <t>https://www.youtube.com/watch?v=gnYH7FDtiaI</t>
  </si>
  <si>
    <t>Minuto de silencio Millos...</t>
  </si>
  <si>
    <t>https://www.youtube.com/watch?v=oKGl3sRXsKU</t>
  </si>
  <si>
    <t>Los colores de mi corazón</t>
  </si>
  <si>
    <t>https://www.youtube.com/watch?v=Nq-DR2pu6CY</t>
  </si>
  <si>
    <t>La gloria nunca la perdimos</t>
  </si>
  <si>
    <t>https://www.youtube.com/watch?v=AhHheztlHfs</t>
  </si>
  <si>
    <t>Himno a nuestros hijos</t>
  </si>
  <si>
    <t>https://www.youtube.com/watch?v=6dYiyv9uhII</t>
  </si>
  <si>
    <t>Dale ver que quiero festejar</t>
  </si>
  <si>
    <t>https://www.youtube.com/watch?v=tOp_9X1Nquc</t>
  </si>
  <si>
    <t>Orgullo paisa</t>
  </si>
  <si>
    <t>https://www.youtube.com/watch?v=moMveWH0Qsk</t>
  </si>
  <si>
    <t>Estoy tan enamorado</t>
  </si>
  <si>
    <t>https://www.youtube.com/watch?v=xo-6-S4lYvA</t>
  </si>
  <si>
    <t>Fiesta en el Atanasio</t>
  </si>
  <si>
    <t>https://www.youtube.com/watch?v=lGax3SYYF6E</t>
  </si>
  <si>
    <t>Fiesta sureña</t>
  </si>
  <si>
    <t>https://www.youtube.com/watch?v=AIXoh0EFrYQ</t>
  </si>
  <si>
    <t>Cantemos sureños</t>
  </si>
  <si>
    <t>https://www.youtube.com/watch?v=ouwCuhzk0_8</t>
  </si>
  <si>
    <t>Brindo por vos Nacional</t>
  </si>
  <si>
    <t>https://www.youtube.com/watch?v=FNLx6nLbBlk</t>
  </si>
  <si>
    <t>Aunque me cueste morir</t>
  </si>
  <si>
    <t>https://www.youtube.com/watch?v=ib9jpb4Eais</t>
  </si>
  <si>
    <t>Aquí está tu hinchada</t>
  </si>
  <si>
    <t>https://www.youtube.com/watch?v=kSdQEXlv4ps</t>
  </si>
  <si>
    <t>CD 3</t>
  </si>
  <si>
    <t>Soy del Verde, Soy Feliz</t>
  </si>
  <si>
    <t>Yo soy aquel</t>
  </si>
  <si>
    <t>https://www.youtube.com/watch?v=XIT20FAStiw</t>
  </si>
  <si>
    <t>Yo quiero a Nacional</t>
  </si>
  <si>
    <t>https://www.youtube.com/watch?v=2TQ3VknvlQI</t>
  </si>
  <si>
    <t>Una tarde muy especial</t>
  </si>
  <si>
    <t>https://www.youtube.com/watch?v=n1JeNaQWqqg</t>
  </si>
  <si>
    <t>Todo por vos</t>
  </si>
  <si>
    <t>https://www.youtube.com/watch?v=iyR9P9ORH-k</t>
  </si>
  <si>
    <t>Soy sureño tengo güevas</t>
  </si>
  <si>
    <t>https://www.youtube.com/watch?v=4kZ1BWeovI0</t>
  </si>
  <si>
    <t>Soy del verde desde que nací</t>
  </si>
  <si>
    <t>https://www.youtube.com/watch?v=hDyzFL-MmmA</t>
  </si>
  <si>
    <t>Sos el equipo que quiero</t>
  </si>
  <si>
    <t>https://www.youtube.com/watch?v=mFbd60u3aEE</t>
  </si>
  <si>
    <t>Ser orgullo de un país</t>
  </si>
  <si>
    <t>https://www.youtube.com/watch?v=V9-EDHrjXDI</t>
  </si>
  <si>
    <t>Que viva el rey de copas</t>
  </si>
  <si>
    <t>https://www.youtube.com/watch?v=OHsA9g6E-Nk</t>
  </si>
  <si>
    <t>Otra vuelta de cerveza</t>
  </si>
  <si>
    <t>https://www.youtube.com/watch?v=0Ou6UU3KFBY</t>
  </si>
  <si>
    <t>Otra vez campeón</t>
  </si>
  <si>
    <t>https://www.youtube.com/watch?v=3r2dDiZrLFg</t>
  </si>
  <si>
    <t>Morir de amor por Nacional</t>
  </si>
  <si>
    <t>https://www.youtube.com/watch?v=NVRKRQlmTm8</t>
  </si>
  <si>
    <t>Mi droga y mi alcohol</t>
  </si>
  <si>
    <t>https://www.youtube.com/watch?v=DOnpwjcXA1M</t>
  </si>
  <si>
    <t>Me lo enseñaron mis viejos</t>
  </si>
  <si>
    <t>https://www.youtube.com/watch?v=e4VQyE7Z3wo</t>
  </si>
  <si>
    <t>La hinchada de Nacional</t>
  </si>
  <si>
    <t>https://www.youtube.com/watch?v=JPGfcS4wd5o</t>
  </si>
  <si>
    <t>La fiesta es verdolaga</t>
  </si>
  <si>
    <t>https://www.youtube.com/watch?v=nrWk-eq1v_M</t>
  </si>
  <si>
    <t>La alegría de esta hinchada</t>
  </si>
  <si>
    <t>https://www.youtube.com/watch?v=baKMHc3HoPk</t>
  </si>
  <si>
    <t>Cuando yo me muera</t>
  </si>
  <si>
    <t>https://www.youtube.com/watch?v=XFuJ-Yyf-Uc</t>
  </si>
  <si>
    <t>Del verde por herencia</t>
  </si>
  <si>
    <t>https://www.youtube.com/watch?v=ZSYQY9jiAwQ</t>
  </si>
  <si>
    <t>Donde están los indigentes</t>
  </si>
  <si>
    <t>https://www.youtube.com/watch?v=SYkU7JwXZ4Y</t>
  </si>
  <si>
    <t>El domingo llegó otra alegría</t>
  </si>
  <si>
    <t>https://www.youtube.com/watch?v=1ye7VwFQMD0</t>
  </si>
  <si>
    <t>Esta es la hinchada</t>
  </si>
  <si>
    <t>https://www.youtube.com/watch?v=fup3Oldiag0</t>
  </si>
  <si>
    <t>Aunque me sienta mal</t>
  </si>
  <si>
    <t>https://www.youtube.com/watch?v=XTP0jAXrA-k</t>
  </si>
  <si>
    <t>Ae Andrés</t>
  </si>
  <si>
    <t>https://www.youtube.com/watch?v=NN88-gp051g</t>
  </si>
  <si>
    <t>A la copa otra vez</t>
  </si>
  <si>
    <t>https://www.youtube.com/watch?v=BNplEDNNgvU</t>
  </si>
  <si>
    <t>El domingo llega otra alegría (versión alternativa)</t>
  </si>
  <si>
    <t>https://www.youtube.com/watch?v=7Nc-e0rnuqE</t>
  </si>
  <si>
    <t>CD 4</t>
  </si>
  <si>
    <t>Alegría Popular</t>
  </si>
  <si>
    <t>https://www.youtube.com/watch?v=zcVArciOBfI</t>
  </si>
  <si>
    <t>Aristi no te vallas</t>
  </si>
  <si>
    <t>https://www.youtube.com/watch?v=jxFpMDTn27Y</t>
  </si>
  <si>
    <t>Cada domingo vuelvo, vos y yo</t>
  </si>
  <si>
    <t>https://www.youtube.com/watch?v=J8L06no-CcM</t>
  </si>
  <si>
    <t>Corran todos</t>
  </si>
  <si>
    <t>https://www.youtube.com/watch?v=7FOmh6Tlito</t>
  </si>
  <si>
    <t>El mejor recuerdo para Jhon</t>
  </si>
  <si>
    <t>https://www.youtube.com/watch?v=u6FtNw_88gs</t>
  </si>
  <si>
    <t>El mejor recuerdo para Rubiela</t>
  </si>
  <si>
    <t>https://www.youtube.com/watch?v=YMw2UXH-3F8</t>
  </si>
  <si>
    <t>El orgullo de mi ciudad</t>
  </si>
  <si>
    <t>https://www.youtube.com/watch?v=q1KXQbPsLiQ</t>
  </si>
  <si>
    <t>El rap del bicampeonato</t>
  </si>
  <si>
    <t>https://www.youtube.com/watch?v=-KVA7x_vc3I</t>
  </si>
  <si>
    <t>Guaro y pola / Donde nacimos y crecimos</t>
  </si>
  <si>
    <t>https://www.youtube.com/watch?v=ebkTvq0rmFo</t>
  </si>
  <si>
    <t>Infaltables</t>
  </si>
  <si>
    <t>https://www.youtube.com/watch?v=hvrFR8ByHcE</t>
  </si>
  <si>
    <t>La visita</t>
  </si>
  <si>
    <t>https://www.youtube.com/watch?v=qEVbhdvrfz0</t>
  </si>
  <si>
    <t>LDS y sus combos, lo más grande</t>
  </si>
  <si>
    <t>https://www.youtube.com/watch?v=AGND6sXdM9I</t>
  </si>
  <si>
    <t>Llora rojo, lloren todos acá en popular</t>
  </si>
  <si>
    <t>https://www.youtube.com/watch?v=DLoqoKqjXe0</t>
  </si>
  <si>
    <t>Mi vida, mi alegría, seguirte hasta la muerte</t>
  </si>
  <si>
    <t>https://www.youtube.com/watch?v=Uy8QmTXhxJs</t>
  </si>
  <si>
    <t>Nacional campeón</t>
  </si>
  <si>
    <t>https://www.youtube.com/watch?v=0dq8wrSA8-o</t>
  </si>
  <si>
    <t>Rojo no existís</t>
  </si>
  <si>
    <t>https://www.youtube.com/watch?v=hwQeoPxrMLY</t>
  </si>
  <si>
    <t>Seguirte siempre contra todos</t>
  </si>
  <si>
    <t>https://www.youtube.com/watch?v=rnASDRRubZ4</t>
  </si>
  <si>
    <t>Soñar, cantar, gritar por vos</t>
  </si>
  <si>
    <t>https://www.youtube.com/watch?v=0IJB7MPS2UI</t>
  </si>
  <si>
    <t>Soy tanto, sos tan poco</t>
  </si>
  <si>
    <t>https://www.youtube.com/watch?v=-PRGNLnlkqg</t>
  </si>
  <si>
    <t>Te amo contra todos, yo soy un orgullo, vos qué sos</t>
  </si>
  <si>
    <t>https://www.youtube.com/watch?v=NyIAJ8aSb6Q</t>
  </si>
  <si>
    <t>Tu hinchada verdolaga</t>
  </si>
  <si>
    <t>https://www.youtube.com/watch?v=7hs1uCJPDYg</t>
  </si>
  <si>
    <t>Verde, esta es tu hinchada de siempre</t>
  </si>
  <si>
    <t>https://www.youtube.com/watch?v=i6GyZYB7sPY</t>
  </si>
  <si>
    <t>CD 5</t>
  </si>
  <si>
    <t>El Pueblo es Verdolaga</t>
  </si>
  <si>
    <t>El portavoz (Alcolirykoz)</t>
  </si>
  <si>
    <t>https://www.youtube.com/watch?v=Y4rT1Lg57Ng</t>
  </si>
  <si>
    <t>De la cuna hasta el cajón</t>
  </si>
  <si>
    <t>https://www.youtube.com/watch?v=NmFn9YvgbjA</t>
  </si>
  <si>
    <t>La cumbia Nacional</t>
  </si>
  <si>
    <t>https://www.youtube.com/watch?v=uQ3QhFMsDtg</t>
  </si>
  <si>
    <t>Fiesta verde</t>
  </si>
  <si>
    <t>https://www.youtube.com/watch?v=X2OVY26YssI</t>
  </si>
  <si>
    <t>Homenaje a los parceros</t>
  </si>
  <si>
    <t>https://www.youtube.com/watch?v=6AbHjqwE8rI</t>
  </si>
  <si>
    <t>Yo siempre estaré</t>
  </si>
  <si>
    <t>https://www.youtube.com/watch?v=LBcB-RP9MMk</t>
  </si>
  <si>
    <t>Por vos</t>
  </si>
  <si>
    <t>https://www.youtube.com/watch?v=Q1-alJCzs3Y</t>
  </si>
  <si>
    <t>René Los Del Sur</t>
  </si>
  <si>
    <t>https://www.youtube.com/watch?v=I1HCNHd3Eng</t>
  </si>
  <si>
    <t>Homenaje a Pascual</t>
  </si>
  <si>
    <t>https://www.youtube.com/watch?v=n87oVjGYPh8</t>
  </si>
  <si>
    <t>Te sigo a donde vayas</t>
  </si>
  <si>
    <t>https://www.youtube.com/watch?v=osIMWA0oIrg</t>
  </si>
  <si>
    <t>Rojo qué pasó</t>
  </si>
  <si>
    <t>https://www.youtube.com/watch?v=wW2XireAgAU</t>
  </si>
  <si>
    <t>Quiero dar la vuelta</t>
  </si>
  <si>
    <t>https://www.youtube.com/watch?v=TiRxpWp62OA</t>
  </si>
  <si>
    <t>Mi orgullo, mi enfermedad</t>
  </si>
  <si>
    <t>https://www.youtube.com/watch?v=6RwNzKJfbLE</t>
  </si>
  <si>
    <t>Oh vamos verdolaga</t>
  </si>
  <si>
    <t>https://www.youtube.com/watch?v=zWGTgbffSUo</t>
  </si>
  <si>
    <t>El cielo puede esperar</t>
  </si>
  <si>
    <t>https://www.youtube.com/watch?v=DZxfJj76zKY</t>
  </si>
  <si>
    <t>CD 6</t>
  </si>
  <si>
    <t>Para Amarte Nací</t>
  </si>
  <si>
    <t>Dejo todo por verte</t>
  </si>
  <si>
    <t>https://www.youtube.com/watch?v=FZBz70ZxBOM</t>
  </si>
  <si>
    <t>Venimos una vez más</t>
  </si>
  <si>
    <t>https://www.youtube.com/watch?v=-vpOnsOfftk</t>
  </si>
  <si>
    <t>El más grande de Colombia</t>
  </si>
  <si>
    <t>https://www.youtube.com/watch?v=_VulZbqBACQ</t>
  </si>
  <si>
    <t>La droga de mi corazón</t>
  </si>
  <si>
    <t>https://www.youtube.com/watch?v=o89Of-z4DHs</t>
  </si>
  <si>
    <t>La banda es carnaval</t>
  </si>
  <si>
    <t>https://www.youtube.com/watch?v=5KsvLgPLHNk</t>
  </si>
  <si>
    <t>Sos mi enfermedad</t>
  </si>
  <si>
    <t>https://www.youtube.com/watch?v=zLBZflU9VkQ</t>
  </si>
  <si>
    <t>De fiesta y de parranda</t>
  </si>
  <si>
    <t>https://www.youtube.com/watch?v=IJSFwtDlxy0</t>
  </si>
  <si>
    <t>No llores rojo</t>
  </si>
  <si>
    <t>https://www.youtube.com/watch?v=KYPRjsuD_L8</t>
  </si>
  <si>
    <t>La locura que siento por vos</t>
  </si>
  <si>
    <t>https://www.youtube.com/watch?v=JwKiN78_WBw</t>
  </si>
  <si>
    <t>Te quiero como a mi vieja</t>
  </si>
  <si>
    <t>https://www.youtube.com/watch?v=OqH5USkjZho</t>
  </si>
  <si>
    <t>Progreso Los Del Sur</t>
  </si>
  <si>
    <t>Total</t>
  </si>
  <si>
    <t>Escuchadas</t>
  </si>
  <si>
    <t>% Completado</t>
  </si>
  <si>
    <t>CD 1 — Cuando Canta La Sur</t>
  </si>
  <si>
    <t>CD 2 — El Orgullo de Ser Verdolaga</t>
  </si>
  <si>
    <t>CD 3 — Soy del Verde, Soy Feliz</t>
  </si>
  <si>
    <t>CD 4 — Alegría Popular</t>
  </si>
  <si>
    <t>CD 5 — El Pueblo es Verdolaga</t>
  </si>
  <si>
    <t>CD 6 — Para Amarte Nací</t>
  </si>
  <si>
    <t>TOTAL</t>
  </si>
  <si>
    <t>Tip: marca ✓ en la columna de la hoja 'Canciones LDS' y este panel se actualiza solo.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</si>
</sst>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theme="1"/>
      <name val="Calibri"/>
      <scheme val="minor"/>
    </font>
    <font>
      <b/>
      <sz val="12.0"/>
      <color rgb="FFFFFFFF"/>
      <name val="Arial"/>
    </font>
    <font>
      <b/>
      <color theme="1"/>
      <name val="Calibri"/>
    </font>
    <font>
      <sz val="11.0"/>
      <color theme="1"/>
      <name val="Calibri"/>
    </font>
    <font>
      <b/>
      <sz val="11.0"/>
      <color rgb="FF1B5E20"/>
      <name val="Arial"/>
    </font>
    <font>
      <sz val="11.0"/>
      <color theme="1"/>
      <name val="Arial"/>
    </font>
    <font>
      <b/>
      <sz val="14.0"/>
      <color rgb="FF1B5E20"/>
      <name val="Arial"/>
    </font>
    <font>
      <u/>
      <color rgb="FF0563C1"/>
    </font>
    <font>
      <u/>
      <color rgb="FF0563C1"/>
    </font>
    <font>
      <b/>
      <sz val="16.0"/>
      <color rgb="FF1B5E20"/>
      <name val="Arial"/>
    </font>
    <font>
      <i/>
      <sz val="10.0"/>
      <color rgb="FF61616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B3C"/>
        <bgColor rgb="FF006B3C"/>
      </patternFill>
    </fill>
    <fill>
      <patternFill patternType="solid">
        <fgColor rgb="FFC8E6C9"/>
        <bgColor rgb="FFC8E6C9"/>
      </patternFill>
    </fill>
    <fill>
      <patternFill patternType="solid">
        <fgColor rgb="FFFFF59D"/>
        <bgColor rgb="FFFFF59D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7" numFmtId="0" xfId="0" applyFont="1"/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4" fontId="8" numFmtId="0" xfId="0" applyFont="1"/>
    <xf borderId="0" fillId="0" fontId="3" numFmtId="0" xfId="0" applyAlignment="1" applyFont="1">
      <alignment vertical="bottom"/>
    </xf>
    <xf borderId="0" fillId="0" fontId="9" numFmtId="0" xfId="0" applyAlignment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F59D"/>
          <bgColor rgb="FFFFF59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moMveWH0Qsk" TargetMode="External"/><Relationship Id="rId42" Type="http://schemas.openxmlformats.org/officeDocument/2006/relationships/hyperlink" Target="https://www.youtube.com/watch?v=lGax3SYYF6E" TargetMode="External"/><Relationship Id="rId41" Type="http://schemas.openxmlformats.org/officeDocument/2006/relationships/hyperlink" Target="https://www.youtube.com/watch?v=xo-6-S4lYvA" TargetMode="External"/><Relationship Id="rId44" Type="http://schemas.openxmlformats.org/officeDocument/2006/relationships/hyperlink" Target="https://www.youtube.com/watch?v=ouwCuhzk0_8" TargetMode="External"/><Relationship Id="rId43" Type="http://schemas.openxmlformats.org/officeDocument/2006/relationships/hyperlink" Target="https://www.youtube.com/watch?v=AIXoh0EFrYQ" TargetMode="External"/><Relationship Id="rId46" Type="http://schemas.openxmlformats.org/officeDocument/2006/relationships/hyperlink" Target="https://www.youtube.com/watch?v=ib9jpb4Eais" TargetMode="External"/><Relationship Id="rId45" Type="http://schemas.openxmlformats.org/officeDocument/2006/relationships/hyperlink" Target="https://www.youtube.com/watch?v=FNLx6nLbBlk" TargetMode="External"/><Relationship Id="rId107" Type="http://schemas.openxmlformats.org/officeDocument/2006/relationships/hyperlink" Target="https://www.youtube.com/watch?v=TiRxpWp62OA" TargetMode="External"/><Relationship Id="rId106" Type="http://schemas.openxmlformats.org/officeDocument/2006/relationships/hyperlink" Target="https://www.youtube.com/watch?v=wW2XireAgAU" TargetMode="External"/><Relationship Id="rId105" Type="http://schemas.openxmlformats.org/officeDocument/2006/relationships/hyperlink" Target="https://www.youtube.com/watch?v=osIMWA0oIrg" TargetMode="External"/><Relationship Id="rId104" Type="http://schemas.openxmlformats.org/officeDocument/2006/relationships/hyperlink" Target="https://www.youtube.com/watch?v=n87oVjGYPh8" TargetMode="External"/><Relationship Id="rId109" Type="http://schemas.openxmlformats.org/officeDocument/2006/relationships/hyperlink" Target="https://www.youtube.com/watch?v=zWGTgbffSUo" TargetMode="External"/><Relationship Id="rId108" Type="http://schemas.openxmlformats.org/officeDocument/2006/relationships/hyperlink" Target="https://www.youtube.com/watch?v=6RwNzKJfbLE" TargetMode="External"/><Relationship Id="rId48" Type="http://schemas.openxmlformats.org/officeDocument/2006/relationships/hyperlink" Target="https://www.youtube.com/watch?v=XIT20FAStiw" TargetMode="External"/><Relationship Id="rId47" Type="http://schemas.openxmlformats.org/officeDocument/2006/relationships/hyperlink" Target="https://www.youtube.com/watch?v=kSdQEXlv4ps" TargetMode="External"/><Relationship Id="rId49" Type="http://schemas.openxmlformats.org/officeDocument/2006/relationships/hyperlink" Target="https://www.youtube.com/watch?v=2TQ3VknvlQI" TargetMode="External"/><Relationship Id="rId103" Type="http://schemas.openxmlformats.org/officeDocument/2006/relationships/hyperlink" Target="https://www.youtube.com/watch?v=I1HCNHd3Eng" TargetMode="External"/><Relationship Id="rId102" Type="http://schemas.openxmlformats.org/officeDocument/2006/relationships/hyperlink" Target="https://www.youtube.com/watch?v=Q1-alJCzs3Y" TargetMode="External"/><Relationship Id="rId101" Type="http://schemas.openxmlformats.org/officeDocument/2006/relationships/hyperlink" Target="https://www.youtube.com/watch?v=LBcB-RP9MMk" TargetMode="External"/><Relationship Id="rId100" Type="http://schemas.openxmlformats.org/officeDocument/2006/relationships/hyperlink" Target="https://www.youtube.com/watch?v=6AbHjqwE8rI" TargetMode="External"/><Relationship Id="rId31" Type="http://schemas.openxmlformats.org/officeDocument/2006/relationships/hyperlink" Target="https://www.youtube.com/watch?v=zPXTbBfN8Hg" TargetMode="External"/><Relationship Id="rId30" Type="http://schemas.openxmlformats.org/officeDocument/2006/relationships/hyperlink" Target="https://www.youtube.com/watch?v=Kk33dWQuPD4" TargetMode="External"/><Relationship Id="rId33" Type="http://schemas.openxmlformats.org/officeDocument/2006/relationships/hyperlink" Target="https://www.youtube.com/watch?v=dRwArZkuQFk" TargetMode="External"/><Relationship Id="rId32" Type="http://schemas.openxmlformats.org/officeDocument/2006/relationships/hyperlink" Target="https://www.youtube.com/watch?v=ElGWEfBS6Ak" TargetMode="External"/><Relationship Id="rId35" Type="http://schemas.openxmlformats.org/officeDocument/2006/relationships/hyperlink" Target="https://www.youtube.com/watch?v=oKGl3sRXsKU" TargetMode="External"/><Relationship Id="rId34" Type="http://schemas.openxmlformats.org/officeDocument/2006/relationships/hyperlink" Target="https://www.youtube.com/watch?v=gnYH7FDtiaI" TargetMode="External"/><Relationship Id="rId37" Type="http://schemas.openxmlformats.org/officeDocument/2006/relationships/hyperlink" Target="https://www.youtube.com/watch?v=AhHheztlHfs" TargetMode="External"/><Relationship Id="rId36" Type="http://schemas.openxmlformats.org/officeDocument/2006/relationships/hyperlink" Target="https://www.youtube.com/watch?v=Nq-DR2pu6CY" TargetMode="External"/><Relationship Id="rId39" Type="http://schemas.openxmlformats.org/officeDocument/2006/relationships/hyperlink" Target="https://www.youtube.com/watch?v=tOp_9X1Nquc" TargetMode="External"/><Relationship Id="rId38" Type="http://schemas.openxmlformats.org/officeDocument/2006/relationships/hyperlink" Target="https://www.youtube.com/watch?v=6dYiyv9uhII" TargetMode="External"/><Relationship Id="rId20" Type="http://schemas.openxmlformats.org/officeDocument/2006/relationships/hyperlink" Target="https://www.youtube.com/watch?v=8BTSS_u9vm8" TargetMode="External"/><Relationship Id="rId22" Type="http://schemas.openxmlformats.org/officeDocument/2006/relationships/hyperlink" Target="https://www.youtube.com/watch?v=Sg0dpTCKaFs" TargetMode="External"/><Relationship Id="rId21" Type="http://schemas.openxmlformats.org/officeDocument/2006/relationships/hyperlink" Target="https://www.youtube.com/watch?v=NJ0VQC0WskI" TargetMode="External"/><Relationship Id="rId24" Type="http://schemas.openxmlformats.org/officeDocument/2006/relationships/hyperlink" Target="https://www.youtube.com/watch?v=cDFPRaXrGY8" TargetMode="External"/><Relationship Id="rId23" Type="http://schemas.openxmlformats.org/officeDocument/2006/relationships/hyperlink" Target="https://www.youtube.com/watch?v=KWXwTIhQcpo" TargetMode="External"/><Relationship Id="rId26" Type="http://schemas.openxmlformats.org/officeDocument/2006/relationships/hyperlink" Target="https://www.youtube.com/watch?v=4IuWDpbPPSg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www.youtube.com/watch?v=Q8fSOg4_ukY" TargetMode="External"/><Relationship Id="rId120" Type="http://schemas.openxmlformats.org/officeDocument/2006/relationships/hyperlink" Target="https://www.youtube.com/watch?v=OqH5USkjZho" TargetMode="External"/><Relationship Id="rId28" Type="http://schemas.openxmlformats.org/officeDocument/2006/relationships/hyperlink" Target="https://www.youtube.com/watch?v=FR56j_-0-GU" TargetMode="External"/><Relationship Id="rId27" Type="http://schemas.openxmlformats.org/officeDocument/2006/relationships/hyperlink" Target="https://www.youtube.com/watch?v=kIqCshLi8bw" TargetMode="External"/><Relationship Id="rId29" Type="http://schemas.openxmlformats.org/officeDocument/2006/relationships/hyperlink" Target="https://www.youtube.com/watch?v=rvCSmIK42uk" TargetMode="External"/><Relationship Id="rId95" Type="http://schemas.openxmlformats.org/officeDocument/2006/relationships/hyperlink" Target="https://www.youtube.com/watch?v=i6GyZYB7sPY" TargetMode="External"/><Relationship Id="rId94" Type="http://schemas.openxmlformats.org/officeDocument/2006/relationships/hyperlink" Target="https://www.youtube.com/watch?v=7hs1uCJPDYg" TargetMode="External"/><Relationship Id="rId97" Type="http://schemas.openxmlformats.org/officeDocument/2006/relationships/hyperlink" Target="https://www.youtube.com/watch?v=NmFn9YvgbjA" TargetMode="External"/><Relationship Id="rId96" Type="http://schemas.openxmlformats.org/officeDocument/2006/relationships/hyperlink" Target="https://www.youtube.com/watch?v=Y4rT1Lg57Ng" TargetMode="External"/><Relationship Id="rId11" Type="http://schemas.openxmlformats.org/officeDocument/2006/relationships/hyperlink" Target="https://www.youtube.com/watch?v=Akv5dV68WUo" TargetMode="External"/><Relationship Id="rId99" Type="http://schemas.openxmlformats.org/officeDocument/2006/relationships/hyperlink" Target="https://www.youtube.com/watch?v=X2OVY26YssI" TargetMode="External"/><Relationship Id="rId10" Type="http://schemas.openxmlformats.org/officeDocument/2006/relationships/hyperlink" Target="https://www.youtube.com/watch?v=JpLICvEbzzU" TargetMode="External"/><Relationship Id="rId98" Type="http://schemas.openxmlformats.org/officeDocument/2006/relationships/hyperlink" Target="https://www.youtube.com/watch?v=uQ3QhFMsDtg" TargetMode="External"/><Relationship Id="rId13" Type="http://schemas.openxmlformats.org/officeDocument/2006/relationships/hyperlink" Target="https://www.youtube.com/watch?v=DFN_cwXcn7k" TargetMode="External"/><Relationship Id="rId12" Type="http://schemas.openxmlformats.org/officeDocument/2006/relationships/hyperlink" Target="https://www.youtube.com/watch?v=3JlSwhK5-RY" TargetMode="External"/><Relationship Id="rId91" Type="http://schemas.openxmlformats.org/officeDocument/2006/relationships/hyperlink" Target="https://www.youtube.com/watch?v=0IJB7MPS2UI" TargetMode="External"/><Relationship Id="rId90" Type="http://schemas.openxmlformats.org/officeDocument/2006/relationships/hyperlink" Target="https://www.youtube.com/watch?v=rnASDRRubZ4" TargetMode="External"/><Relationship Id="rId93" Type="http://schemas.openxmlformats.org/officeDocument/2006/relationships/hyperlink" Target="https://www.youtube.com/watch?v=NyIAJ8aSb6Q" TargetMode="External"/><Relationship Id="rId92" Type="http://schemas.openxmlformats.org/officeDocument/2006/relationships/hyperlink" Target="https://www.youtube.com/watch?v=-PRGNLnlkqg" TargetMode="External"/><Relationship Id="rId118" Type="http://schemas.openxmlformats.org/officeDocument/2006/relationships/hyperlink" Target="https://www.youtube.com/watch?v=KYPRjsuD_L8" TargetMode="External"/><Relationship Id="rId117" Type="http://schemas.openxmlformats.org/officeDocument/2006/relationships/hyperlink" Target="https://www.youtube.com/watch?v=IJSFwtDlxy0" TargetMode="External"/><Relationship Id="rId116" Type="http://schemas.openxmlformats.org/officeDocument/2006/relationships/hyperlink" Target="https://www.youtube.com/watch?v=zLBZflU9VkQ" TargetMode="External"/><Relationship Id="rId115" Type="http://schemas.openxmlformats.org/officeDocument/2006/relationships/hyperlink" Target="https://www.youtube.com/watch?v=5KsvLgPLHNk" TargetMode="External"/><Relationship Id="rId119" Type="http://schemas.openxmlformats.org/officeDocument/2006/relationships/hyperlink" Target="https://www.youtube.com/watch?v=JwKiN78_WBw" TargetMode="External"/><Relationship Id="rId15" Type="http://schemas.openxmlformats.org/officeDocument/2006/relationships/hyperlink" Target="https://www.youtube.com/watch?v=kwjUjh2Knts" TargetMode="External"/><Relationship Id="rId110" Type="http://schemas.openxmlformats.org/officeDocument/2006/relationships/hyperlink" Target="https://www.youtube.com/watch?v=DZxfJj76zKY" TargetMode="External"/><Relationship Id="rId14" Type="http://schemas.openxmlformats.org/officeDocument/2006/relationships/hyperlink" Target="https://www.youtube.com/watch?v=GH5WrFeprR0" TargetMode="External"/><Relationship Id="rId17" Type="http://schemas.openxmlformats.org/officeDocument/2006/relationships/hyperlink" Target="https://www.youtube.com/watch?v=x94XhUR8Phg" TargetMode="External"/><Relationship Id="rId16" Type="http://schemas.openxmlformats.org/officeDocument/2006/relationships/hyperlink" Target="https://www.youtube.com/watch?v=J-Fp-TVS0Xc" TargetMode="External"/><Relationship Id="rId19" Type="http://schemas.openxmlformats.org/officeDocument/2006/relationships/hyperlink" Target="https://www.youtube.com/watch?v=uZ4MvnMaShA" TargetMode="External"/><Relationship Id="rId114" Type="http://schemas.openxmlformats.org/officeDocument/2006/relationships/hyperlink" Target="https://www.youtube.com/watch?v=o89Of-z4DHs" TargetMode="External"/><Relationship Id="rId18" Type="http://schemas.openxmlformats.org/officeDocument/2006/relationships/hyperlink" Target="https://www.youtube.com/watch?v=LgcXtxsTiDU" TargetMode="External"/><Relationship Id="rId113" Type="http://schemas.openxmlformats.org/officeDocument/2006/relationships/hyperlink" Target="https://www.youtube.com/watch?v=_VulZbqBACQ" TargetMode="External"/><Relationship Id="rId112" Type="http://schemas.openxmlformats.org/officeDocument/2006/relationships/hyperlink" Target="https://www.youtube.com/watch?v=-vpOnsOfftk" TargetMode="External"/><Relationship Id="rId111" Type="http://schemas.openxmlformats.org/officeDocument/2006/relationships/hyperlink" Target="https://www.youtube.com/watch?v=FZBz70ZxBOM" TargetMode="External"/><Relationship Id="rId84" Type="http://schemas.openxmlformats.org/officeDocument/2006/relationships/hyperlink" Target="https://www.youtube.com/watch?v=qEVbhdvrfz0" TargetMode="External"/><Relationship Id="rId83" Type="http://schemas.openxmlformats.org/officeDocument/2006/relationships/hyperlink" Target="https://www.youtube.com/watch?v=hvrFR8ByHcE" TargetMode="External"/><Relationship Id="rId86" Type="http://schemas.openxmlformats.org/officeDocument/2006/relationships/hyperlink" Target="https://www.youtube.com/watch?v=DLoqoKqjXe0" TargetMode="External"/><Relationship Id="rId85" Type="http://schemas.openxmlformats.org/officeDocument/2006/relationships/hyperlink" Target="https://www.youtube.com/watch?v=AGND6sXdM9I" TargetMode="External"/><Relationship Id="rId88" Type="http://schemas.openxmlformats.org/officeDocument/2006/relationships/hyperlink" Target="https://www.youtube.com/watch?v=0dq8wrSA8-o" TargetMode="External"/><Relationship Id="rId87" Type="http://schemas.openxmlformats.org/officeDocument/2006/relationships/hyperlink" Target="https://www.youtube.com/watch?v=Uy8QmTXhxJs" TargetMode="External"/><Relationship Id="rId89" Type="http://schemas.openxmlformats.org/officeDocument/2006/relationships/hyperlink" Target="https://www.youtube.com/watch?v=hwQeoPxrMLY" TargetMode="External"/><Relationship Id="rId80" Type="http://schemas.openxmlformats.org/officeDocument/2006/relationships/hyperlink" Target="https://www.youtube.com/watch?v=q1KXQbPsLiQ" TargetMode="External"/><Relationship Id="rId82" Type="http://schemas.openxmlformats.org/officeDocument/2006/relationships/hyperlink" Target="https://www.youtube.com/watch?v=ebkTvq0rmFo" TargetMode="External"/><Relationship Id="rId81" Type="http://schemas.openxmlformats.org/officeDocument/2006/relationships/hyperlink" Target="https://www.youtube.com/watch?v=-KVA7x_vc3I" TargetMode="External"/><Relationship Id="rId1" Type="http://schemas.openxmlformats.org/officeDocument/2006/relationships/hyperlink" Target="https://www.youtube.com/watch?v=m1SxnF4d3cY" TargetMode="External"/><Relationship Id="rId2" Type="http://schemas.openxmlformats.org/officeDocument/2006/relationships/hyperlink" Target="https://www.youtube.com/watch?v=rgFRIBgWlko" TargetMode="External"/><Relationship Id="rId3" Type="http://schemas.openxmlformats.org/officeDocument/2006/relationships/hyperlink" Target="https://www.youtube.com/watch?v=e0LSQYZda80" TargetMode="External"/><Relationship Id="rId4" Type="http://schemas.openxmlformats.org/officeDocument/2006/relationships/hyperlink" Target="https://www.youtube.com/watch?v=IZHr4hlsWFo" TargetMode="External"/><Relationship Id="rId9" Type="http://schemas.openxmlformats.org/officeDocument/2006/relationships/hyperlink" Target="https://www.youtube.com/watch?v=Sp809bGX_Xg" TargetMode="External"/><Relationship Id="rId5" Type="http://schemas.openxmlformats.org/officeDocument/2006/relationships/hyperlink" Target="https://www.youtube.com/watch?v=pzBQQF5-f_o" TargetMode="External"/><Relationship Id="rId6" Type="http://schemas.openxmlformats.org/officeDocument/2006/relationships/hyperlink" Target="https://www.youtube.com/watch?v=3Mj8oa_sWdQ" TargetMode="External"/><Relationship Id="rId7" Type="http://schemas.openxmlformats.org/officeDocument/2006/relationships/hyperlink" Target="https://www.youtube.com/watch?v=7gD29qcIksM" TargetMode="External"/><Relationship Id="rId8" Type="http://schemas.openxmlformats.org/officeDocument/2006/relationships/hyperlink" Target="https://www.youtube.com/watch?v=yWdsjQ2c1z0" TargetMode="External"/><Relationship Id="rId73" Type="http://schemas.openxmlformats.org/officeDocument/2006/relationships/hyperlink" Target="https://www.youtube.com/watch?v=7Nc-e0rnuqE" TargetMode="External"/><Relationship Id="rId72" Type="http://schemas.openxmlformats.org/officeDocument/2006/relationships/hyperlink" Target="https://www.youtube.com/watch?v=BNplEDNNgvU" TargetMode="External"/><Relationship Id="rId75" Type="http://schemas.openxmlformats.org/officeDocument/2006/relationships/hyperlink" Target="https://www.youtube.com/watch?v=jxFpMDTn27Y" TargetMode="External"/><Relationship Id="rId74" Type="http://schemas.openxmlformats.org/officeDocument/2006/relationships/hyperlink" Target="https://www.youtube.com/watch?v=zcVArciOBfI" TargetMode="External"/><Relationship Id="rId77" Type="http://schemas.openxmlformats.org/officeDocument/2006/relationships/hyperlink" Target="https://www.youtube.com/watch?v=7FOmh6Tlito" TargetMode="External"/><Relationship Id="rId76" Type="http://schemas.openxmlformats.org/officeDocument/2006/relationships/hyperlink" Target="https://www.youtube.com/watch?v=J8L06no-CcM" TargetMode="External"/><Relationship Id="rId79" Type="http://schemas.openxmlformats.org/officeDocument/2006/relationships/hyperlink" Target="https://www.youtube.com/watch?v=YMw2UXH-3F8" TargetMode="External"/><Relationship Id="rId78" Type="http://schemas.openxmlformats.org/officeDocument/2006/relationships/hyperlink" Target="https://www.youtube.com/watch?v=u6FtNw_88gs" TargetMode="External"/><Relationship Id="rId71" Type="http://schemas.openxmlformats.org/officeDocument/2006/relationships/hyperlink" Target="https://www.youtube.com/watch?v=NN88-gp051g" TargetMode="External"/><Relationship Id="rId70" Type="http://schemas.openxmlformats.org/officeDocument/2006/relationships/hyperlink" Target="https://www.youtube.com/watch?v=XTP0jAXrA-k" TargetMode="External"/><Relationship Id="rId62" Type="http://schemas.openxmlformats.org/officeDocument/2006/relationships/hyperlink" Target="https://www.youtube.com/watch?v=JPGfcS4wd5o" TargetMode="External"/><Relationship Id="rId61" Type="http://schemas.openxmlformats.org/officeDocument/2006/relationships/hyperlink" Target="https://www.youtube.com/watch?v=e4VQyE7Z3wo" TargetMode="External"/><Relationship Id="rId64" Type="http://schemas.openxmlformats.org/officeDocument/2006/relationships/hyperlink" Target="https://www.youtube.com/watch?v=baKMHc3HoPk" TargetMode="External"/><Relationship Id="rId63" Type="http://schemas.openxmlformats.org/officeDocument/2006/relationships/hyperlink" Target="https://www.youtube.com/watch?v=nrWk-eq1v_M" TargetMode="External"/><Relationship Id="rId66" Type="http://schemas.openxmlformats.org/officeDocument/2006/relationships/hyperlink" Target="https://www.youtube.com/watch?v=ZSYQY9jiAwQ" TargetMode="External"/><Relationship Id="rId65" Type="http://schemas.openxmlformats.org/officeDocument/2006/relationships/hyperlink" Target="https://www.youtube.com/watch?v=XFuJ-Yyf-Uc" TargetMode="External"/><Relationship Id="rId68" Type="http://schemas.openxmlformats.org/officeDocument/2006/relationships/hyperlink" Target="https://www.youtube.com/watch?v=1ye7VwFQMD0" TargetMode="External"/><Relationship Id="rId67" Type="http://schemas.openxmlformats.org/officeDocument/2006/relationships/hyperlink" Target="https://www.youtube.com/watch?v=SYkU7JwXZ4Y" TargetMode="External"/><Relationship Id="rId60" Type="http://schemas.openxmlformats.org/officeDocument/2006/relationships/hyperlink" Target="https://www.youtube.com/watch?v=DOnpwjcXA1M" TargetMode="External"/><Relationship Id="rId69" Type="http://schemas.openxmlformats.org/officeDocument/2006/relationships/hyperlink" Target="https://www.youtube.com/watch?v=fup3Oldiag0" TargetMode="External"/><Relationship Id="rId51" Type="http://schemas.openxmlformats.org/officeDocument/2006/relationships/hyperlink" Target="https://www.youtube.com/watch?v=iyR9P9ORH-k" TargetMode="External"/><Relationship Id="rId50" Type="http://schemas.openxmlformats.org/officeDocument/2006/relationships/hyperlink" Target="https://www.youtube.com/watch?v=n1JeNaQWqqg" TargetMode="External"/><Relationship Id="rId53" Type="http://schemas.openxmlformats.org/officeDocument/2006/relationships/hyperlink" Target="https://www.youtube.com/watch?v=hDyzFL-MmmA" TargetMode="External"/><Relationship Id="rId52" Type="http://schemas.openxmlformats.org/officeDocument/2006/relationships/hyperlink" Target="https://www.youtube.com/watch?v=4kZ1BWeovI0" TargetMode="External"/><Relationship Id="rId55" Type="http://schemas.openxmlformats.org/officeDocument/2006/relationships/hyperlink" Target="https://www.youtube.com/watch?v=V9-EDHrjXDI" TargetMode="External"/><Relationship Id="rId54" Type="http://schemas.openxmlformats.org/officeDocument/2006/relationships/hyperlink" Target="https://www.youtube.com/watch?v=mFbd60u3aEE" TargetMode="External"/><Relationship Id="rId57" Type="http://schemas.openxmlformats.org/officeDocument/2006/relationships/hyperlink" Target="https://www.youtube.com/watch?v=0Ou6UU3KFBY" TargetMode="External"/><Relationship Id="rId56" Type="http://schemas.openxmlformats.org/officeDocument/2006/relationships/hyperlink" Target="https://www.youtube.com/watch?v=OHsA9g6E-Nk" TargetMode="External"/><Relationship Id="rId59" Type="http://schemas.openxmlformats.org/officeDocument/2006/relationships/hyperlink" Target="https://www.youtube.com/watch?v=NVRKRQlmTm8" TargetMode="External"/><Relationship Id="rId58" Type="http://schemas.openxmlformats.org/officeDocument/2006/relationships/hyperlink" Target="https://www.youtube.com/watch?v=3r2dDiZrLF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6.0"/>
    <col customWidth="1" min="4" max="4" width="60.0"/>
    <col customWidth="1" min="5" max="5" width="8.0"/>
    <col customWidth="1" min="6" max="6" width="45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 t="s">
        <v>6</v>
      </c>
      <c r="B2" s="5" t="s">
        <v>7</v>
      </c>
      <c r="C2" s="6">
        <v>1.0</v>
      </c>
      <c r="D2" s="5" t="s">
        <v>8</v>
      </c>
      <c r="E2" s="7"/>
      <c r="F2" s="8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 t="s">
        <v>6</v>
      </c>
      <c r="B3" s="5" t="s">
        <v>7</v>
      </c>
      <c r="C3" s="6">
        <v>2.0</v>
      </c>
      <c r="D3" s="5" t="s">
        <v>10</v>
      </c>
      <c r="E3" s="7"/>
      <c r="F3" s="8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4" t="s">
        <v>6</v>
      </c>
      <c r="B4" s="5" t="s">
        <v>7</v>
      </c>
      <c r="C4" s="6">
        <v>3.0</v>
      </c>
      <c r="D4" s="5" t="s">
        <v>12</v>
      </c>
      <c r="E4" s="7"/>
      <c r="F4" s="8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4" t="s">
        <v>6</v>
      </c>
      <c r="B5" s="5" t="s">
        <v>7</v>
      </c>
      <c r="C5" s="6">
        <v>4.0</v>
      </c>
      <c r="D5" s="5" t="s">
        <v>14</v>
      </c>
      <c r="E5" s="7"/>
      <c r="F5" s="8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4" t="s">
        <v>6</v>
      </c>
      <c r="B6" s="5" t="s">
        <v>7</v>
      </c>
      <c r="C6" s="6">
        <v>5.0</v>
      </c>
      <c r="D6" s="5" t="s">
        <v>16</v>
      </c>
      <c r="E6" s="7"/>
      <c r="F6" s="8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4" t="s">
        <v>6</v>
      </c>
      <c r="B7" s="5" t="s">
        <v>7</v>
      </c>
      <c r="C7" s="6">
        <v>6.0</v>
      </c>
      <c r="D7" s="5" t="s">
        <v>18</v>
      </c>
      <c r="E7" s="7"/>
      <c r="F7" s="8" t="s">
        <v>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4" t="s">
        <v>6</v>
      </c>
      <c r="B8" s="5" t="s">
        <v>7</v>
      </c>
      <c r="C8" s="6">
        <v>7.0</v>
      </c>
      <c r="D8" s="5" t="s">
        <v>20</v>
      </c>
      <c r="E8" s="7"/>
      <c r="F8" s="8" t="s">
        <v>21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4" t="s">
        <v>6</v>
      </c>
      <c r="B9" s="5" t="s">
        <v>7</v>
      </c>
      <c r="C9" s="6">
        <v>8.0</v>
      </c>
      <c r="D9" s="5" t="s">
        <v>22</v>
      </c>
      <c r="E9" s="7"/>
      <c r="F9" s="8" t="s">
        <v>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4" t="s">
        <v>6</v>
      </c>
      <c r="B10" s="5" t="s">
        <v>7</v>
      </c>
      <c r="C10" s="6">
        <v>9.0</v>
      </c>
      <c r="D10" s="5" t="s">
        <v>24</v>
      </c>
      <c r="E10" s="7"/>
      <c r="F10" s="8" t="s">
        <v>25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4" t="s">
        <v>6</v>
      </c>
      <c r="B11" s="5" t="s">
        <v>7</v>
      </c>
      <c r="C11" s="6">
        <v>10.0</v>
      </c>
      <c r="D11" s="5" t="s">
        <v>26</v>
      </c>
      <c r="E11" s="7"/>
      <c r="F11" s="8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4" t="s">
        <v>6</v>
      </c>
      <c r="B12" s="5" t="s">
        <v>7</v>
      </c>
      <c r="C12" s="6">
        <v>11.0</v>
      </c>
      <c r="D12" s="5" t="s">
        <v>28</v>
      </c>
      <c r="E12" s="7"/>
      <c r="F12" s="8" t="s">
        <v>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4" t="s">
        <v>6</v>
      </c>
      <c r="B13" s="5" t="s">
        <v>7</v>
      </c>
      <c r="C13" s="6">
        <v>12.0</v>
      </c>
      <c r="D13" s="5" t="s">
        <v>30</v>
      </c>
      <c r="E13" s="7"/>
      <c r="F13" s="8" t="s">
        <v>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4" t="s">
        <v>6</v>
      </c>
      <c r="B14" s="5" t="s">
        <v>7</v>
      </c>
      <c r="C14" s="6">
        <v>13.0</v>
      </c>
      <c r="D14" s="5" t="s">
        <v>32</v>
      </c>
      <c r="E14" s="7"/>
      <c r="F14" s="8" t="s">
        <v>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4" t="s">
        <v>6</v>
      </c>
      <c r="B15" s="5" t="s">
        <v>7</v>
      </c>
      <c r="C15" s="6">
        <v>14.0</v>
      </c>
      <c r="D15" s="5" t="s">
        <v>34</v>
      </c>
      <c r="E15" s="7"/>
      <c r="F15" s="8" t="s">
        <v>35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4" t="s">
        <v>6</v>
      </c>
      <c r="B16" s="5" t="s">
        <v>7</v>
      </c>
      <c r="C16" s="6">
        <v>15.0</v>
      </c>
      <c r="D16" s="5" t="s">
        <v>36</v>
      </c>
      <c r="E16" s="7"/>
      <c r="F16" s="8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4" t="s">
        <v>6</v>
      </c>
      <c r="B17" s="5" t="s">
        <v>7</v>
      </c>
      <c r="C17" s="6">
        <v>16.0</v>
      </c>
      <c r="D17" s="5" t="s">
        <v>38</v>
      </c>
      <c r="E17" s="7"/>
      <c r="F17" s="8" t="s">
        <v>39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4" t="s">
        <v>6</v>
      </c>
      <c r="B18" s="5" t="s">
        <v>7</v>
      </c>
      <c r="C18" s="6">
        <v>17.0</v>
      </c>
      <c r="D18" s="5" t="s">
        <v>40</v>
      </c>
      <c r="E18" s="7"/>
      <c r="F18" s="8" t="s">
        <v>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4" t="s">
        <v>6</v>
      </c>
      <c r="B19" s="5" t="s">
        <v>7</v>
      </c>
      <c r="C19" s="6">
        <v>18.0</v>
      </c>
      <c r="D19" s="5" t="s">
        <v>42</v>
      </c>
      <c r="E19" s="7"/>
      <c r="F19" s="8" t="s">
        <v>43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4" t="s">
        <v>6</v>
      </c>
      <c r="B20" s="5" t="s">
        <v>7</v>
      </c>
      <c r="C20" s="6">
        <v>19.0</v>
      </c>
      <c r="D20" s="5" t="s">
        <v>44</v>
      </c>
      <c r="E20" s="7"/>
      <c r="F20" s="8" t="s">
        <v>45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4" t="s">
        <v>6</v>
      </c>
      <c r="B21" s="5" t="s">
        <v>7</v>
      </c>
      <c r="C21" s="6">
        <v>20.0</v>
      </c>
      <c r="D21" s="5" t="s">
        <v>46</v>
      </c>
      <c r="E21" s="7"/>
      <c r="F21" s="8" t="s">
        <v>47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4" t="s">
        <v>48</v>
      </c>
      <c r="B22" s="5" t="s">
        <v>49</v>
      </c>
      <c r="C22" s="6">
        <v>1.0</v>
      </c>
      <c r="D22" s="5" t="s">
        <v>50</v>
      </c>
      <c r="E22" s="7"/>
      <c r="F22" s="8" t="s">
        <v>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4" t="s">
        <v>48</v>
      </c>
      <c r="B23" s="5" t="s">
        <v>49</v>
      </c>
      <c r="C23" s="6">
        <v>2.0</v>
      </c>
      <c r="D23" s="5" t="s">
        <v>52</v>
      </c>
      <c r="E23" s="7"/>
      <c r="F23" s="8" t="s">
        <v>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9" t="s">
        <v>48</v>
      </c>
      <c r="B24" s="5" t="s">
        <v>49</v>
      </c>
      <c r="C24" s="6">
        <v>3.0</v>
      </c>
      <c r="D24" s="5" t="s">
        <v>54</v>
      </c>
      <c r="E24" s="7"/>
      <c r="F24" s="8" t="s">
        <v>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9" t="s">
        <v>48</v>
      </c>
      <c r="B25" s="5" t="s">
        <v>49</v>
      </c>
      <c r="C25" s="6">
        <v>4.0</v>
      </c>
      <c r="D25" s="5" t="s">
        <v>56</v>
      </c>
      <c r="E25" s="7"/>
      <c r="F25" s="8" t="s">
        <v>57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9" t="s">
        <v>48</v>
      </c>
      <c r="B26" s="5" t="s">
        <v>49</v>
      </c>
      <c r="C26" s="6">
        <v>5.0</v>
      </c>
      <c r="D26" s="5" t="s">
        <v>58</v>
      </c>
      <c r="E26" s="7"/>
      <c r="F26" s="8" t="s">
        <v>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9" t="s">
        <v>48</v>
      </c>
      <c r="B27" s="5" t="s">
        <v>49</v>
      </c>
      <c r="C27" s="6">
        <v>6.0</v>
      </c>
      <c r="D27" s="5" t="s">
        <v>60</v>
      </c>
      <c r="E27" s="7"/>
      <c r="F27" s="8" t="s">
        <v>61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9" t="s">
        <v>48</v>
      </c>
      <c r="B28" s="5" t="s">
        <v>49</v>
      </c>
      <c r="C28" s="6">
        <v>7.0</v>
      </c>
      <c r="D28" s="5" t="s">
        <v>62</v>
      </c>
      <c r="E28" s="7"/>
      <c r="F28" s="8" t="s">
        <v>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9" t="s">
        <v>48</v>
      </c>
      <c r="B29" s="5" t="s">
        <v>49</v>
      </c>
      <c r="C29" s="6">
        <v>8.0</v>
      </c>
      <c r="D29" s="5" t="s">
        <v>64</v>
      </c>
      <c r="E29" s="7"/>
      <c r="F29" s="8" t="s">
        <v>65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9" t="s">
        <v>48</v>
      </c>
      <c r="B30" s="5" t="s">
        <v>49</v>
      </c>
      <c r="C30" s="6">
        <v>9.0</v>
      </c>
      <c r="D30" s="5" t="s">
        <v>66</v>
      </c>
      <c r="E30" s="7"/>
      <c r="F30" s="8" t="s">
        <v>67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9" t="s">
        <v>48</v>
      </c>
      <c r="B31" s="5" t="s">
        <v>49</v>
      </c>
      <c r="C31" s="6">
        <v>10.0</v>
      </c>
      <c r="D31" s="5" t="s">
        <v>68</v>
      </c>
      <c r="E31" s="7"/>
      <c r="F31" s="8" t="s">
        <v>69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9" t="s">
        <v>48</v>
      </c>
      <c r="B32" s="5" t="s">
        <v>49</v>
      </c>
      <c r="C32" s="6">
        <v>11.0</v>
      </c>
      <c r="D32" s="5" t="s">
        <v>70</v>
      </c>
      <c r="E32" s="7"/>
      <c r="F32" s="8" t="s">
        <v>71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9" t="s">
        <v>48</v>
      </c>
      <c r="B33" s="5" t="s">
        <v>49</v>
      </c>
      <c r="C33" s="6">
        <v>12.0</v>
      </c>
      <c r="D33" s="5" t="s">
        <v>72</v>
      </c>
      <c r="E33" s="7"/>
      <c r="F33" s="8" t="s">
        <v>73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9" t="s">
        <v>48</v>
      </c>
      <c r="B34" s="5" t="s">
        <v>49</v>
      </c>
      <c r="C34" s="6">
        <v>13.0</v>
      </c>
      <c r="D34" s="5" t="s">
        <v>8</v>
      </c>
      <c r="E34" s="7"/>
      <c r="F34" s="8" t="s">
        <v>74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9" t="s">
        <v>48</v>
      </c>
      <c r="B35" s="5" t="s">
        <v>49</v>
      </c>
      <c r="C35" s="6">
        <v>14.0</v>
      </c>
      <c r="D35" s="5" t="s">
        <v>75</v>
      </c>
      <c r="E35" s="7"/>
      <c r="F35" s="8" t="s">
        <v>76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9" t="s">
        <v>48</v>
      </c>
      <c r="B36" s="5" t="s">
        <v>49</v>
      </c>
      <c r="C36" s="6">
        <v>15.0</v>
      </c>
      <c r="D36" s="5" t="s">
        <v>77</v>
      </c>
      <c r="E36" s="7"/>
      <c r="F36" s="8" t="s">
        <v>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9" t="s">
        <v>48</v>
      </c>
      <c r="B37" s="5" t="s">
        <v>49</v>
      </c>
      <c r="C37" s="6">
        <v>16.0</v>
      </c>
      <c r="D37" s="5" t="s">
        <v>79</v>
      </c>
      <c r="E37" s="7"/>
      <c r="F37" s="8" t="s">
        <v>80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9" t="s">
        <v>48</v>
      </c>
      <c r="B38" s="5" t="s">
        <v>49</v>
      </c>
      <c r="C38" s="6">
        <v>17.0</v>
      </c>
      <c r="D38" s="5" t="s">
        <v>81</v>
      </c>
      <c r="E38" s="7"/>
      <c r="F38" s="8" t="s">
        <v>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9" t="s">
        <v>48</v>
      </c>
      <c r="B39" s="5" t="s">
        <v>49</v>
      </c>
      <c r="C39" s="6">
        <v>18.0</v>
      </c>
      <c r="D39" s="5" t="s">
        <v>83</v>
      </c>
      <c r="E39" s="7"/>
      <c r="F39" s="8" t="s">
        <v>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9" t="s">
        <v>48</v>
      </c>
      <c r="B40" s="5" t="s">
        <v>49</v>
      </c>
      <c r="C40" s="6">
        <v>19.0</v>
      </c>
      <c r="D40" s="5" t="s">
        <v>85</v>
      </c>
      <c r="E40" s="7"/>
      <c r="F40" s="8" t="s">
        <v>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9" t="s">
        <v>48</v>
      </c>
      <c r="B41" s="5" t="s">
        <v>49</v>
      </c>
      <c r="C41" s="6">
        <v>20.0</v>
      </c>
      <c r="D41" s="5" t="s">
        <v>87</v>
      </c>
      <c r="E41" s="7"/>
      <c r="F41" s="8" t="s">
        <v>88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9" t="s">
        <v>48</v>
      </c>
      <c r="B42" s="5" t="s">
        <v>49</v>
      </c>
      <c r="C42" s="6">
        <v>21.0</v>
      </c>
      <c r="D42" s="5" t="s">
        <v>89</v>
      </c>
      <c r="E42" s="7"/>
      <c r="F42" s="8" t="s">
        <v>90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9" t="s">
        <v>48</v>
      </c>
      <c r="B43" s="5" t="s">
        <v>49</v>
      </c>
      <c r="C43" s="6">
        <v>22.0</v>
      </c>
      <c r="D43" s="5" t="s">
        <v>91</v>
      </c>
      <c r="E43" s="7"/>
      <c r="F43" s="8" t="s">
        <v>92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9" t="s">
        <v>48</v>
      </c>
      <c r="B44" s="5" t="s">
        <v>49</v>
      </c>
      <c r="C44" s="6">
        <v>23.0</v>
      </c>
      <c r="D44" s="5" t="s">
        <v>93</v>
      </c>
      <c r="E44" s="7"/>
      <c r="F44" s="8" t="s">
        <v>94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9" t="s">
        <v>48</v>
      </c>
      <c r="B45" s="5" t="s">
        <v>49</v>
      </c>
      <c r="C45" s="6">
        <v>24.0</v>
      </c>
      <c r="D45" s="5" t="s">
        <v>95</v>
      </c>
      <c r="E45" s="7"/>
      <c r="F45" s="8" t="s">
        <v>96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9" t="s">
        <v>48</v>
      </c>
      <c r="B46" s="5" t="s">
        <v>49</v>
      </c>
      <c r="C46" s="6">
        <v>25.0</v>
      </c>
      <c r="D46" s="5" t="s">
        <v>97</v>
      </c>
      <c r="E46" s="7"/>
      <c r="F46" s="8" t="s">
        <v>98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9" t="s">
        <v>48</v>
      </c>
      <c r="B47" s="5" t="s">
        <v>49</v>
      </c>
      <c r="C47" s="6">
        <v>26.0</v>
      </c>
      <c r="D47" s="5" t="s">
        <v>99</v>
      </c>
      <c r="E47" s="7"/>
      <c r="F47" s="8" t="s">
        <v>100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9" t="s">
        <v>48</v>
      </c>
      <c r="B48" s="5" t="s">
        <v>49</v>
      </c>
      <c r="C48" s="6">
        <v>27.0</v>
      </c>
      <c r="D48" s="5" t="s">
        <v>101</v>
      </c>
      <c r="E48" s="7"/>
      <c r="F48" s="8" t="s">
        <v>102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4" t="s">
        <v>103</v>
      </c>
      <c r="B49" s="5" t="s">
        <v>104</v>
      </c>
      <c r="C49" s="6">
        <v>1.0</v>
      </c>
      <c r="D49" s="5" t="s">
        <v>105</v>
      </c>
      <c r="E49" s="7"/>
      <c r="F49" s="8" t="s">
        <v>106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4" t="s">
        <v>103</v>
      </c>
      <c r="B50" s="5" t="s">
        <v>104</v>
      </c>
      <c r="C50" s="6">
        <v>2.0</v>
      </c>
      <c r="D50" s="5" t="s">
        <v>107</v>
      </c>
      <c r="E50" s="7"/>
      <c r="F50" s="8" t="s">
        <v>108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10" t="s">
        <v>103</v>
      </c>
      <c r="B51" s="11" t="s">
        <v>104</v>
      </c>
      <c r="C51" s="12">
        <v>3.0</v>
      </c>
      <c r="D51" s="11" t="s">
        <v>109</v>
      </c>
      <c r="E51" s="13"/>
      <c r="F51" s="14" t="s">
        <v>110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10" t="s">
        <v>103</v>
      </c>
      <c r="B52" s="11" t="s">
        <v>104</v>
      </c>
      <c r="C52" s="12">
        <v>4.0</v>
      </c>
      <c r="D52" s="11" t="s">
        <v>111</v>
      </c>
      <c r="E52" s="13"/>
      <c r="F52" s="14" t="s">
        <v>112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4" t="s">
        <v>103</v>
      </c>
      <c r="B53" s="5" t="s">
        <v>104</v>
      </c>
      <c r="C53" s="6">
        <v>5.0</v>
      </c>
      <c r="D53" s="5" t="s">
        <v>113</v>
      </c>
      <c r="E53" s="7"/>
      <c r="F53" s="8" t="s">
        <v>114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10" t="s">
        <v>103</v>
      </c>
      <c r="B54" s="11" t="s">
        <v>104</v>
      </c>
      <c r="C54" s="12">
        <v>6.0</v>
      </c>
      <c r="D54" s="11" t="s">
        <v>115</v>
      </c>
      <c r="E54" s="13"/>
      <c r="F54" s="14" t="s">
        <v>116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10" t="s">
        <v>103</v>
      </c>
      <c r="B55" s="11" t="s">
        <v>104</v>
      </c>
      <c r="C55" s="12">
        <v>7.0</v>
      </c>
      <c r="D55" s="11" t="s">
        <v>117</v>
      </c>
      <c r="E55" s="13"/>
      <c r="F55" s="14" t="s">
        <v>118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10" t="s">
        <v>103</v>
      </c>
      <c r="B56" s="11" t="s">
        <v>104</v>
      </c>
      <c r="C56" s="12">
        <v>8.0</v>
      </c>
      <c r="D56" s="11" t="s">
        <v>119</v>
      </c>
      <c r="E56" s="13"/>
      <c r="F56" s="14" t="s">
        <v>120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10" t="s">
        <v>103</v>
      </c>
      <c r="B57" s="11" t="s">
        <v>104</v>
      </c>
      <c r="C57" s="12">
        <v>9.0</v>
      </c>
      <c r="D57" s="11" t="s">
        <v>121</v>
      </c>
      <c r="E57" s="13"/>
      <c r="F57" s="14" t="s">
        <v>122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10" t="s">
        <v>103</v>
      </c>
      <c r="B58" s="11" t="s">
        <v>104</v>
      </c>
      <c r="C58" s="12">
        <v>10.0</v>
      </c>
      <c r="D58" s="11" t="s">
        <v>123</v>
      </c>
      <c r="E58" s="13"/>
      <c r="F58" s="14" t="s">
        <v>124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10" t="s">
        <v>103</v>
      </c>
      <c r="B59" s="11" t="s">
        <v>104</v>
      </c>
      <c r="C59" s="12">
        <v>11.0</v>
      </c>
      <c r="D59" s="11" t="s">
        <v>125</v>
      </c>
      <c r="E59" s="13"/>
      <c r="F59" s="14" t="s">
        <v>126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10" t="s">
        <v>103</v>
      </c>
      <c r="B60" s="11" t="s">
        <v>104</v>
      </c>
      <c r="C60" s="12">
        <v>12.0</v>
      </c>
      <c r="D60" s="11" t="s">
        <v>127</v>
      </c>
      <c r="E60" s="13"/>
      <c r="F60" s="14" t="s">
        <v>128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10" t="s">
        <v>103</v>
      </c>
      <c r="B61" s="11" t="s">
        <v>104</v>
      </c>
      <c r="C61" s="12">
        <v>13.0</v>
      </c>
      <c r="D61" s="11" t="s">
        <v>129</v>
      </c>
      <c r="E61" s="13"/>
      <c r="F61" s="14" t="s">
        <v>130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10" t="s">
        <v>103</v>
      </c>
      <c r="B62" s="11" t="s">
        <v>104</v>
      </c>
      <c r="C62" s="12">
        <v>14.0</v>
      </c>
      <c r="D62" s="11" t="s">
        <v>131</v>
      </c>
      <c r="E62" s="13"/>
      <c r="F62" s="14" t="s">
        <v>132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10" t="s">
        <v>103</v>
      </c>
      <c r="B63" s="11" t="s">
        <v>104</v>
      </c>
      <c r="C63" s="12">
        <v>15.0</v>
      </c>
      <c r="D63" s="11" t="s">
        <v>133</v>
      </c>
      <c r="E63" s="13"/>
      <c r="F63" s="14" t="s">
        <v>134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10" t="s">
        <v>103</v>
      </c>
      <c r="B64" s="11" t="s">
        <v>104</v>
      </c>
      <c r="C64" s="12">
        <v>16.0</v>
      </c>
      <c r="D64" s="11" t="s">
        <v>135</v>
      </c>
      <c r="E64" s="13"/>
      <c r="F64" s="14" t="s">
        <v>136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10" t="s">
        <v>103</v>
      </c>
      <c r="B65" s="11" t="s">
        <v>104</v>
      </c>
      <c r="C65" s="12">
        <v>17.0</v>
      </c>
      <c r="D65" s="11" t="s">
        <v>137</v>
      </c>
      <c r="E65" s="13"/>
      <c r="F65" s="14" t="s">
        <v>138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10" t="s">
        <v>103</v>
      </c>
      <c r="B66" s="11" t="s">
        <v>104</v>
      </c>
      <c r="C66" s="12">
        <v>18.0</v>
      </c>
      <c r="D66" s="11" t="s">
        <v>139</v>
      </c>
      <c r="E66" s="13"/>
      <c r="F66" s="14" t="s">
        <v>140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10" t="s">
        <v>103</v>
      </c>
      <c r="B67" s="11" t="s">
        <v>104</v>
      </c>
      <c r="C67" s="12">
        <v>19.0</v>
      </c>
      <c r="D67" s="11" t="s">
        <v>141</v>
      </c>
      <c r="E67" s="13"/>
      <c r="F67" s="14" t="s">
        <v>142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10" t="s">
        <v>103</v>
      </c>
      <c r="B68" s="11" t="s">
        <v>104</v>
      </c>
      <c r="C68" s="12">
        <v>20.0</v>
      </c>
      <c r="D68" s="11" t="s">
        <v>143</v>
      </c>
      <c r="E68" s="13"/>
      <c r="F68" s="14" t="s">
        <v>144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10" t="s">
        <v>103</v>
      </c>
      <c r="B69" s="11" t="s">
        <v>104</v>
      </c>
      <c r="C69" s="12">
        <v>21.0</v>
      </c>
      <c r="D69" s="11" t="s">
        <v>145</v>
      </c>
      <c r="E69" s="13"/>
      <c r="F69" s="14" t="s">
        <v>146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10" t="s">
        <v>103</v>
      </c>
      <c r="B70" s="11" t="s">
        <v>104</v>
      </c>
      <c r="C70" s="12">
        <v>22.0</v>
      </c>
      <c r="D70" s="11" t="s">
        <v>147</v>
      </c>
      <c r="E70" s="13"/>
      <c r="F70" s="14" t="s">
        <v>148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10" t="s">
        <v>103</v>
      </c>
      <c r="B71" s="11" t="s">
        <v>104</v>
      </c>
      <c r="C71" s="12">
        <v>23.0</v>
      </c>
      <c r="D71" s="11" t="s">
        <v>149</v>
      </c>
      <c r="E71" s="13"/>
      <c r="F71" s="14" t="s">
        <v>150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10" t="s">
        <v>103</v>
      </c>
      <c r="B72" s="11" t="s">
        <v>104</v>
      </c>
      <c r="C72" s="12">
        <v>24.0</v>
      </c>
      <c r="D72" s="11" t="s">
        <v>151</v>
      </c>
      <c r="E72" s="13"/>
      <c r="F72" s="14" t="s">
        <v>152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10" t="s">
        <v>103</v>
      </c>
      <c r="B73" s="11" t="s">
        <v>104</v>
      </c>
      <c r="C73" s="12">
        <v>25.0</v>
      </c>
      <c r="D73" s="11" t="s">
        <v>153</v>
      </c>
      <c r="E73" s="13"/>
      <c r="F73" s="14" t="s">
        <v>154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10" t="s">
        <v>103</v>
      </c>
      <c r="B74" s="11" t="s">
        <v>104</v>
      </c>
      <c r="C74" s="12">
        <v>26.0</v>
      </c>
      <c r="D74" s="11" t="s">
        <v>155</v>
      </c>
      <c r="E74" s="13"/>
      <c r="F74" s="14" t="s">
        <v>156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4" t="s">
        <v>157</v>
      </c>
      <c r="B75" s="5" t="s">
        <v>158</v>
      </c>
      <c r="C75" s="6">
        <v>1.0</v>
      </c>
      <c r="D75" s="5" t="s">
        <v>8</v>
      </c>
      <c r="E75" s="7"/>
      <c r="F75" s="8" t="s">
        <v>159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4" t="s">
        <v>157</v>
      </c>
      <c r="B76" s="5" t="s">
        <v>158</v>
      </c>
      <c r="C76" s="6">
        <v>2.0</v>
      </c>
      <c r="D76" s="5" t="s">
        <v>160</v>
      </c>
      <c r="E76" s="7"/>
      <c r="F76" s="8" t="s">
        <v>161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4" t="s">
        <v>157</v>
      </c>
      <c r="B77" s="5" t="s">
        <v>158</v>
      </c>
      <c r="C77" s="6">
        <v>3.0</v>
      </c>
      <c r="D77" s="5" t="s">
        <v>162</v>
      </c>
      <c r="E77" s="7"/>
      <c r="F77" s="8" t="s">
        <v>163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4" t="s">
        <v>157</v>
      </c>
      <c r="B78" s="5" t="s">
        <v>158</v>
      </c>
      <c r="C78" s="6">
        <v>4.0</v>
      </c>
      <c r="D78" s="5" t="s">
        <v>164</v>
      </c>
      <c r="E78" s="7"/>
      <c r="F78" s="8" t="s">
        <v>165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4" t="s">
        <v>157</v>
      </c>
      <c r="B79" s="5" t="s">
        <v>158</v>
      </c>
      <c r="C79" s="6">
        <v>5.0</v>
      </c>
      <c r="D79" s="5" t="s">
        <v>166</v>
      </c>
      <c r="E79" s="7"/>
      <c r="F79" s="8" t="s">
        <v>167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4" t="s">
        <v>157</v>
      </c>
      <c r="B80" s="5" t="s">
        <v>158</v>
      </c>
      <c r="C80" s="6">
        <v>6.0</v>
      </c>
      <c r="D80" s="5" t="s">
        <v>168</v>
      </c>
      <c r="E80" s="7"/>
      <c r="F80" s="8" t="s">
        <v>169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4" t="s">
        <v>157</v>
      </c>
      <c r="B81" s="5" t="s">
        <v>158</v>
      </c>
      <c r="C81" s="6">
        <v>7.0</v>
      </c>
      <c r="D81" s="5" t="s">
        <v>170</v>
      </c>
      <c r="E81" s="7"/>
      <c r="F81" s="8" t="s">
        <v>171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4" t="s">
        <v>157</v>
      </c>
      <c r="B82" s="5" t="s">
        <v>158</v>
      </c>
      <c r="C82" s="6">
        <v>8.0</v>
      </c>
      <c r="D82" s="5" t="s">
        <v>172</v>
      </c>
      <c r="E82" s="7"/>
      <c r="F82" s="8" t="s">
        <v>173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4" t="s">
        <v>157</v>
      </c>
      <c r="B83" s="5" t="s">
        <v>158</v>
      </c>
      <c r="C83" s="6">
        <v>9.0</v>
      </c>
      <c r="D83" s="5" t="s">
        <v>174</v>
      </c>
      <c r="E83" s="7"/>
      <c r="F83" s="8" t="s">
        <v>175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4" t="s">
        <v>157</v>
      </c>
      <c r="B84" s="5" t="s">
        <v>158</v>
      </c>
      <c r="C84" s="6">
        <v>10.0</v>
      </c>
      <c r="D84" s="5" t="s">
        <v>176</v>
      </c>
      <c r="E84" s="7"/>
      <c r="F84" s="8" t="s">
        <v>177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4" t="s">
        <v>157</v>
      </c>
      <c r="B85" s="5" t="s">
        <v>158</v>
      </c>
      <c r="C85" s="6">
        <v>11.0</v>
      </c>
      <c r="D85" s="5" t="s">
        <v>178</v>
      </c>
      <c r="E85" s="7"/>
      <c r="F85" s="8" t="s">
        <v>179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4" t="s">
        <v>157</v>
      </c>
      <c r="B86" s="5" t="s">
        <v>158</v>
      </c>
      <c r="C86" s="6">
        <v>12.0</v>
      </c>
      <c r="D86" s="5" t="s">
        <v>180</v>
      </c>
      <c r="E86" s="7"/>
      <c r="F86" s="8" t="s">
        <v>181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4" t="s">
        <v>157</v>
      </c>
      <c r="B87" s="5" t="s">
        <v>158</v>
      </c>
      <c r="C87" s="6">
        <v>13.0</v>
      </c>
      <c r="D87" s="5" t="s">
        <v>182</v>
      </c>
      <c r="E87" s="7"/>
      <c r="F87" s="8" t="s">
        <v>183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10" t="s">
        <v>157</v>
      </c>
      <c r="B88" s="11" t="s">
        <v>158</v>
      </c>
      <c r="C88" s="12">
        <v>14.0</v>
      </c>
      <c r="D88" s="11" t="s">
        <v>184</v>
      </c>
      <c r="E88" s="13"/>
      <c r="F88" s="14" t="s">
        <v>185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10" t="s">
        <v>157</v>
      </c>
      <c r="B89" s="11" t="s">
        <v>158</v>
      </c>
      <c r="C89" s="12">
        <v>15.0</v>
      </c>
      <c r="D89" s="11" t="s">
        <v>186</v>
      </c>
      <c r="E89" s="13"/>
      <c r="F89" s="14" t="s">
        <v>187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10" t="s">
        <v>157</v>
      </c>
      <c r="B90" s="11" t="s">
        <v>158</v>
      </c>
      <c r="C90" s="12">
        <v>16.0</v>
      </c>
      <c r="D90" s="11" t="s">
        <v>188</v>
      </c>
      <c r="E90" s="13"/>
      <c r="F90" s="14" t="s">
        <v>189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10" t="s">
        <v>157</v>
      </c>
      <c r="B91" s="11" t="s">
        <v>158</v>
      </c>
      <c r="C91" s="12">
        <v>17.0</v>
      </c>
      <c r="D91" s="11" t="s">
        <v>190</v>
      </c>
      <c r="E91" s="13"/>
      <c r="F91" s="14" t="s">
        <v>191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10" t="s">
        <v>157</v>
      </c>
      <c r="B92" s="11" t="s">
        <v>158</v>
      </c>
      <c r="C92" s="12">
        <v>18.0</v>
      </c>
      <c r="D92" s="11" t="s">
        <v>192</v>
      </c>
      <c r="E92" s="13"/>
      <c r="F92" s="14" t="s">
        <v>193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10" t="s">
        <v>157</v>
      </c>
      <c r="B93" s="11" t="s">
        <v>158</v>
      </c>
      <c r="C93" s="12">
        <v>19.0</v>
      </c>
      <c r="D93" s="11" t="s">
        <v>194</v>
      </c>
      <c r="E93" s="13"/>
      <c r="F93" s="14" t="s">
        <v>195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10" t="s">
        <v>157</v>
      </c>
      <c r="B94" s="11" t="s">
        <v>158</v>
      </c>
      <c r="C94" s="12">
        <v>20.0</v>
      </c>
      <c r="D94" s="11" t="s">
        <v>196</v>
      </c>
      <c r="E94" s="13"/>
      <c r="F94" s="14" t="s">
        <v>197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10" t="s">
        <v>157</v>
      </c>
      <c r="B95" s="11" t="s">
        <v>158</v>
      </c>
      <c r="C95" s="12">
        <v>21.0</v>
      </c>
      <c r="D95" s="11" t="s">
        <v>198</v>
      </c>
      <c r="E95" s="13"/>
      <c r="F95" s="14" t="s">
        <v>199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10" t="s">
        <v>157</v>
      </c>
      <c r="B96" s="11" t="s">
        <v>158</v>
      </c>
      <c r="C96" s="12">
        <v>22.0</v>
      </c>
      <c r="D96" s="11" t="s">
        <v>200</v>
      </c>
      <c r="E96" s="13"/>
      <c r="F96" s="14" t="s">
        <v>201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4" t="s">
        <v>202</v>
      </c>
      <c r="B97" s="5" t="s">
        <v>203</v>
      </c>
      <c r="C97" s="6">
        <v>1.0</v>
      </c>
      <c r="D97" s="5" t="s">
        <v>204</v>
      </c>
      <c r="E97" s="7"/>
      <c r="F97" s="8" t="s">
        <v>205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4" t="s">
        <v>202</v>
      </c>
      <c r="B98" s="5" t="s">
        <v>203</v>
      </c>
      <c r="C98" s="6">
        <v>2.0</v>
      </c>
      <c r="D98" s="5" t="s">
        <v>206</v>
      </c>
      <c r="E98" s="7"/>
      <c r="F98" s="8" t="s">
        <v>207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4" t="s">
        <v>202</v>
      </c>
      <c r="B99" s="5" t="s">
        <v>203</v>
      </c>
      <c r="C99" s="6">
        <v>3.0</v>
      </c>
      <c r="D99" s="5" t="s">
        <v>208</v>
      </c>
      <c r="E99" s="7"/>
      <c r="F99" s="8" t="s">
        <v>209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4" t="s">
        <v>202</v>
      </c>
      <c r="B100" s="5" t="s">
        <v>203</v>
      </c>
      <c r="C100" s="6">
        <v>4.0</v>
      </c>
      <c r="D100" s="5" t="s">
        <v>210</v>
      </c>
      <c r="E100" s="7"/>
      <c r="F100" s="8" t="s">
        <v>211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4" t="s">
        <v>202</v>
      </c>
      <c r="B101" s="5" t="s">
        <v>203</v>
      </c>
      <c r="C101" s="6">
        <v>5.0</v>
      </c>
      <c r="D101" s="5" t="s">
        <v>212</v>
      </c>
      <c r="E101" s="7"/>
      <c r="F101" s="8" t="s">
        <v>213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4" t="s">
        <v>202</v>
      </c>
      <c r="B102" s="5" t="s">
        <v>203</v>
      </c>
      <c r="C102" s="6">
        <v>6.0</v>
      </c>
      <c r="D102" s="5" t="s">
        <v>214</v>
      </c>
      <c r="E102" s="7"/>
      <c r="F102" s="8" t="s">
        <v>215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4" t="s">
        <v>202</v>
      </c>
      <c r="B103" s="5" t="s">
        <v>203</v>
      </c>
      <c r="C103" s="6">
        <v>7.0</v>
      </c>
      <c r="D103" s="5" t="s">
        <v>216</v>
      </c>
      <c r="E103" s="7"/>
      <c r="F103" s="8" t="s">
        <v>217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4" t="s">
        <v>202</v>
      </c>
      <c r="B104" s="5" t="s">
        <v>203</v>
      </c>
      <c r="C104" s="6">
        <v>8.0</v>
      </c>
      <c r="D104" s="5" t="s">
        <v>218</v>
      </c>
      <c r="E104" s="7"/>
      <c r="F104" s="8" t="s">
        <v>219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4" t="s">
        <v>202</v>
      </c>
      <c r="B105" s="5" t="s">
        <v>203</v>
      </c>
      <c r="C105" s="6">
        <v>9.0</v>
      </c>
      <c r="D105" s="5" t="s">
        <v>220</v>
      </c>
      <c r="E105" s="7"/>
      <c r="F105" s="8" t="s">
        <v>221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4" t="s">
        <v>202</v>
      </c>
      <c r="B106" s="5" t="s">
        <v>203</v>
      </c>
      <c r="C106" s="6">
        <v>10.0</v>
      </c>
      <c r="D106" s="5" t="s">
        <v>222</v>
      </c>
      <c r="E106" s="7"/>
      <c r="F106" s="8" t="s">
        <v>223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4" t="s">
        <v>202</v>
      </c>
      <c r="B107" s="5" t="s">
        <v>203</v>
      </c>
      <c r="C107" s="6">
        <v>11.0</v>
      </c>
      <c r="D107" s="5" t="s">
        <v>224</v>
      </c>
      <c r="E107" s="7"/>
      <c r="F107" s="8" t="s">
        <v>225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4" t="s">
        <v>202</v>
      </c>
      <c r="B108" s="5" t="s">
        <v>203</v>
      </c>
      <c r="C108" s="6">
        <v>12.0</v>
      </c>
      <c r="D108" s="5" t="s">
        <v>226</v>
      </c>
      <c r="E108" s="7"/>
      <c r="F108" s="8" t="s">
        <v>227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4" t="s">
        <v>202</v>
      </c>
      <c r="B109" s="5" t="s">
        <v>203</v>
      </c>
      <c r="C109" s="6">
        <v>13.0</v>
      </c>
      <c r="D109" s="5" t="s">
        <v>228</v>
      </c>
      <c r="E109" s="7"/>
      <c r="F109" s="8" t="s">
        <v>229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4" t="s">
        <v>202</v>
      </c>
      <c r="B110" s="5" t="s">
        <v>203</v>
      </c>
      <c r="C110" s="6">
        <v>14.0</v>
      </c>
      <c r="D110" s="5" t="s">
        <v>230</v>
      </c>
      <c r="E110" s="7"/>
      <c r="F110" s="8" t="s">
        <v>231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4" t="s">
        <v>202</v>
      </c>
      <c r="B111" s="5" t="s">
        <v>203</v>
      </c>
      <c r="C111" s="6">
        <v>15.0</v>
      </c>
      <c r="D111" s="5" t="s">
        <v>232</v>
      </c>
      <c r="E111" s="7"/>
      <c r="F111" s="8" t="s">
        <v>233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4" t="s">
        <v>234</v>
      </c>
      <c r="B112" s="5" t="s">
        <v>235</v>
      </c>
      <c r="C112" s="6">
        <v>1.0</v>
      </c>
      <c r="D112" s="5" t="s">
        <v>236</v>
      </c>
      <c r="E112" s="7"/>
      <c r="F112" s="8" t="s">
        <v>237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10" t="s">
        <v>234</v>
      </c>
      <c r="B113" s="11" t="s">
        <v>235</v>
      </c>
      <c r="C113" s="12">
        <v>2.0</v>
      </c>
      <c r="D113" s="11" t="s">
        <v>238</v>
      </c>
      <c r="E113" s="13"/>
      <c r="F113" s="14" t="s">
        <v>239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10" t="s">
        <v>234</v>
      </c>
      <c r="B114" s="11" t="s">
        <v>235</v>
      </c>
      <c r="C114" s="12">
        <v>3.0</v>
      </c>
      <c r="D114" s="11" t="s">
        <v>240</v>
      </c>
      <c r="E114" s="13"/>
      <c r="F114" s="14" t="s">
        <v>241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10" t="s">
        <v>234</v>
      </c>
      <c r="B115" s="11" t="s">
        <v>235</v>
      </c>
      <c r="C115" s="12">
        <v>4.0</v>
      </c>
      <c r="D115" s="11" t="s">
        <v>242</v>
      </c>
      <c r="E115" s="13"/>
      <c r="F115" s="14" t="s">
        <v>243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10" t="s">
        <v>234</v>
      </c>
      <c r="B116" s="11" t="s">
        <v>235</v>
      </c>
      <c r="C116" s="12">
        <v>5.0</v>
      </c>
      <c r="D116" s="11" t="s">
        <v>244</v>
      </c>
      <c r="E116" s="13"/>
      <c r="F116" s="14" t="s">
        <v>245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10" t="s">
        <v>234</v>
      </c>
      <c r="B117" s="11" t="s">
        <v>235</v>
      </c>
      <c r="C117" s="12">
        <v>6.0</v>
      </c>
      <c r="D117" s="11" t="s">
        <v>246</v>
      </c>
      <c r="E117" s="13"/>
      <c r="F117" s="14" t="s">
        <v>247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10" t="s">
        <v>234</v>
      </c>
      <c r="B118" s="11" t="s">
        <v>235</v>
      </c>
      <c r="C118" s="12">
        <v>7.0</v>
      </c>
      <c r="D118" s="11" t="s">
        <v>248</v>
      </c>
      <c r="E118" s="13"/>
      <c r="F118" s="14" t="s">
        <v>249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10" t="s">
        <v>234</v>
      </c>
      <c r="B119" s="11" t="s">
        <v>235</v>
      </c>
      <c r="C119" s="12">
        <v>8.0</v>
      </c>
      <c r="D119" s="11" t="s">
        <v>250</v>
      </c>
      <c r="E119" s="13"/>
      <c r="F119" s="14" t="s">
        <v>251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10" t="s">
        <v>234</v>
      </c>
      <c r="B120" s="11" t="s">
        <v>235</v>
      </c>
      <c r="C120" s="12">
        <v>9.0</v>
      </c>
      <c r="D120" s="11" t="s">
        <v>252</v>
      </c>
      <c r="E120" s="13"/>
      <c r="F120" s="14" t="s">
        <v>253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4" t="s">
        <v>234</v>
      </c>
      <c r="B121" s="5" t="s">
        <v>235</v>
      </c>
      <c r="C121" s="6">
        <v>10.0</v>
      </c>
      <c r="D121" s="5" t="s">
        <v>254</v>
      </c>
      <c r="E121" s="7"/>
      <c r="F121" s="8" t="s">
        <v>255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5"/>
      <c r="B122" s="15"/>
      <c r="C122" s="15"/>
      <c r="D122" s="15"/>
      <c r="E122" s="1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5"/>
      <c r="B123" s="15"/>
      <c r="C123" s="15"/>
      <c r="D123" s="15"/>
      <c r="E123" s="1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5"/>
      <c r="B124" s="15"/>
      <c r="C124" s="15"/>
      <c r="D124" s="15"/>
      <c r="E124" s="1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5"/>
      <c r="B125" s="15"/>
      <c r="C125" s="15"/>
      <c r="D125" s="15"/>
      <c r="E125" s="1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5"/>
      <c r="B126" s="15"/>
      <c r="C126" s="15"/>
      <c r="D126" s="15"/>
      <c r="E126" s="1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5"/>
      <c r="B127" s="15"/>
      <c r="C127" s="15"/>
      <c r="D127" s="15"/>
      <c r="E127" s="1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5"/>
      <c r="B128" s="15"/>
      <c r="C128" s="15"/>
      <c r="D128" s="15"/>
      <c r="E128" s="1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5"/>
      <c r="B129" s="15"/>
      <c r="C129" s="15"/>
      <c r="D129" s="15"/>
      <c r="E129" s="1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5"/>
      <c r="B130" s="15"/>
      <c r="C130" s="15"/>
      <c r="D130" s="15"/>
      <c r="E130" s="1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5"/>
      <c r="B131" s="15"/>
      <c r="C131" s="15"/>
      <c r="D131" s="15"/>
      <c r="E131" s="1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5"/>
      <c r="B132" s="15"/>
      <c r="C132" s="15"/>
      <c r="D132" s="15"/>
      <c r="E132" s="1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5"/>
      <c r="B133" s="15"/>
      <c r="C133" s="15"/>
      <c r="D133" s="15"/>
      <c r="E133" s="1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5"/>
      <c r="B134" s="15"/>
      <c r="C134" s="15"/>
      <c r="D134" s="15"/>
      <c r="E134" s="1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5"/>
      <c r="B135" s="15"/>
      <c r="C135" s="15"/>
      <c r="D135" s="15"/>
      <c r="E135" s="1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5"/>
      <c r="B136" s="15"/>
      <c r="C136" s="15"/>
      <c r="D136" s="15"/>
      <c r="E136" s="1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5"/>
      <c r="B137" s="15"/>
      <c r="C137" s="15"/>
      <c r="D137" s="15"/>
      <c r="E137" s="1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5"/>
      <c r="B138" s="15"/>
      <c r="C138" s="15"/>
      <c r="D138" s="15"/>
      <c r="E138" s="1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5"/>
      <c r="B139" s="15"/>
      <c r="C139" s="15"/>
      <c r="D139" s="15"/>
      <c r="E139" s="1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5"/>
      <c r="B140" s="15"/>
      <c r="C140" s="15"/>
      <c r="D140" s="15"/>
      <c r="E140" s="1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5"/>
      <c r="B141" s="15"/>
      <c r="C141" s="15"/>
      <c r="D141" s="15"/>
      <c r="E141" s="1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5"/>
      <c r="B142" s="15"/>
      <c r="C142" s="15"/>
      <c r="D142" s="15"/>
      <c r="E142" s="1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5"/>
      <c r="B143" s="15"/>
      <c r="C143" s="15"/>
      <c r="D143" s="15"/>
      <c r="E143" s="1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5"/>
      <c r="B144" s="15"/>
      <c r="C144" s="15"/>
      <c r="D144" s="15"/>
      <c r="E144" s="1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5"/>
      <c r="B145" s="15"/>
      <c r="C145" s="15"/>
      <c r="D145" s="15"/>
      <c r="E145" s="1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5"/>
      <c r="B146" s="15"/>
      <c r="C146" s="15"/>
      <c r="D146" s="15"/>
      <c r="E146" s="1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5"/>
      <c r="B147" s="15"/>
      <c r="C147" s="15"/>
      <c r="D147" s="15"/>
      <c r="E147" s="1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5"/>
      <c r="B148" s="15"/>
      <c r="C148" s="15"/>
      <c r="D148" s="15"/>
      <c r="E148" s="1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5"/>
      <c r="B149" s="15"/>
      <c r="C149" s="15"/>
      <c r="D149" s="15"/>
      <c r="E149" s="1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5"/>
      <c r="B150" s="15"/>
      <c r="C150" s="15"/>
      <c r="D150" s="15"/>
      <c r="E150" s="1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5"/>
      <c r="B151" s="15"/>
      <c r="C151" s="15"/>
      <c r="D151" s="15"/>
      <c r="E151" s="1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5"/>
      <c r="B152" s="15"/>
      <c r="C152" s="15"/>
      <c r="D152" s="15"/>
      <c r="E152" s="1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5"/>
      <c r="B153" s="15"/>
      <c r="C153" s="15"/>
      <c r="D153" s="15"/>
      <c r="E153" s="1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5"/>
      <c r="B154" s="15"/>
      <c r="C154" s="15"/>
      <c r="D154" s="15"/>
      <c r="E154" s="1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5"/>
      <c r="B155" s="15"/>
      <c r="C155" s="15"/>
      <c r="D155" s="15"/>
      <c r="E155" s="1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5"/>
      <c r="B156" s="15"/>
      <c r="C156" s="15"/>
      <c r="D156" s="15"/>
      <c r="E156" s="1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5"/>
      <c r="B157" s="15"/>
      <c r="C157" s="15"/>
      <c r="D157" s="15"/>
      <c r="E157" s="1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5"/>
      <c r="B158" s="15"/>
      <c r="C158" s="15"/>
      <c r="D158" s="15"/>
      <c r="E158" s="1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5"/>
      <c r="B159" s="15"/>
      <c r="C159" s="15"/>
      <c r="D159" s="15"/>
      <c r="E159" s="1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5"/>
      <c r="B160" s="15"/>
      <c r="C160" s="15"/>
      <c r="D160" s="15"/>
      <c r="E160" s="1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5"/>
      <c r="B161" s="15"/>
      <c r="C161" s="15"/>
      <c r="D161" s="15"/>
      <c r="E161" s="1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5"/>
      <c r="B162" s="15"/>
      <c r="C162" s="15"/>
      <c r="D162" s="15"/>
      <c r="E162" s="1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5"/>
      <c r="B163" s="15"/>
      <c r="C163" s="15"/>
      <c r="D163" s="15"/>
      <c r="E163" s="1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5"/>
      <c r="B164" s="15"/>
      <c r="C164" s="15"/>
      <c r="D164" s="15"/>
      <c r="E164" s="1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5"/>
      <c r="B165" s="15"/>
      <c r="C165" s="15"/>
      <c r="D165" s="15"/>
      <c r="E165" s="1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5"/>
      <c r="B166" s="15"/>
      <c r="C166" s="15"/>
      <c r="D166" s="15"/>
      <c r="E166" s="1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5"/>
      <c r="B167" s="15"/>
      <c r="C167" s="15"/>
      <c r="D167" s="15"/>
      <c r="E167" s="1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5"/>
      <c r="B168" s="15"/>
      <c r="C168" s="15"/>
      <c r="D168" s="15"/>
      <c r="E168" s="1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5"/>
      <c r="B169" s="15"/>
      <c r="C169" s="15"/>
      <c r="D169" s="15"/>
      <c r="E169" s="1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5"/>
      <c r="B170" s="15"/>
      <c r="C170" s="15"/>
      <c r="D170" s="15"/>
      <c r="E170" s="1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5"/>
      <c r="B171" s="15"/>
      <c r="C171" s="15"/>
      <c r="D171" s="15"/>
      <c r="E171" s="1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5"/>
      <c r="B172" s="15"/>
      <c r="C172" s="15"/>
      <c r="D172" s="15"/>
      <c r="E172" s="1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5"/>
      <c r="B173" s="15"/>
      <c r="C173" s="15"/>
      <c r="D173" s="15"/>
      <c r="E173" s="1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5"/>
      <c r="B174" s="15"/>
      <c r="C174" s="15"/>
      <c r="D174" s="15"/>
      <c r="E174" s="1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5"/>
      <c r="B175" s="15"/>
      <c r="C175" s="15"/>
      <c r="D175" s="15"/>
      <c r="E175" s="1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5"/>
      <c r="B176" s="15"/>
      <c r="C176" s="15"/>
      <c r="D176" s="15"/>
      <c r="E176" s="1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5"/>
      <c r="B177" s="15"/>
      <c r="C177" s="15"/>
      <c r="D177" s="15"/>
      <c r="E177" s="1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5"/>
      <c r="B178" s="15"/>
      <c r="C178" s="15"/>
      <c r="D178" s="15"/>
      <c r="E178" s="1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5"/>
      <c r="B179" s="15"/>
      <c r="C179" s="15"/>
      <c r="D179" s="15"/>
      <c r="E179" s="1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5"/>
      <c r="B180" s="15"/>
      <c r="C180" s="15"/>
      <c r="D180" s="15"/>
      <c r="E180" s="1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5"/>
      <c r="B181" s="15"/>
      <c r="C181" s="15"/>
      <c r="D181" s="15"/>
      <c r="E181" s="1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5"/>
      <c r="B182" s="15"/>
      <c r="C182" s="15"/>
      <c r="D182" s="15"/>
      <c r="E182" s="1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5"/>
      <c r="B183" s="15"/>
      <c r="C183" s="15"/>
      <c r="D183" s="15"/>
      <c r="E183" s="1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5"/>
      <c r="B184" s="15"/>
      <c r="C184" s="15"/>
      <c r="D184" s="15"/>
      <c r="E184" s="1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5"/>
      <c r="B185" s="15"/>
      <c r="C185" s="15"/>
      <c r="D185" s="15"/>
      <c r="E185" s="1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5"/>
      <c r="B186" s="15"/>
      <c r="C186" s="15"/>
      <c r="D186" s="15"/>
      <c r="E186" s="1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5"/>
      <c r="B187" s="15"/>
      <c r="C187" s="15"/>
      <c r="D187" s="15"/>
      <c r="E187" s="1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5"/>
      <c r="B188" s="15"/>
      <c r="C188" s="15"/>
      <c r="D188" s="15"/>
      <c r="E188" s="1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5"/>
      <c r="B189" s="15"/>
      <c r="C189" s="15"/>
      <c r="D189" s="15"/>
      <c r="E189" s="1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5"/>
      <c r="B190" s="15"/>
      <c r="C190" s="15"/>
      <c r="D190" s="15"/>
      <c r="E190" s="1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5"/>
      <c r="B191" s="15"/>
      <c r="C191" s="15"/>
      <c r="D191" s="15"/>
      <c r="E191" s="1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5"/>
      <c r="B192" s="15"/>
      <c r="C192" s="15"/>
      <c r="D192" s="15"/>
      <c r="E192" s="1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5"/>
      <c r="B193" s="15"/>
      <c r="C193" s="15"/>
      <c r="D193" s="15"/>
      <c r="E193" s="1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5"/>
      <c r="B194" s="15"/>
      <c r="C194" s="15"/>
      <c r="D194" s="15"/>
      <c r="E194" s="1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5"/>
      <c r="B195" s="15"/>
      <c r="C195" s="15"/>
      <c r="D195" s="15"/>
      <c r="E195" s="1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5"/>
      <c r="B196" s="15"/>
      <c r="C196" s="15"/>
      <c r="D196" s="15"/>
      <c r="E196" s="1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5"/>
      <c r="B197" s="15"/>
      <c r="C197" s="15"/>
      <c r="D197" s="15"/>
      <c r="E197" s="1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5"/>
      <c r="B198" s="15"/>
      <c r="C198" s="15"/>
      <c r="D198" s="15"/>
      <c r="E198" s="1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5"/>
      <c r="B199" s="15"/>
      <c r="C199" s="15"/>
      <c r="D199" s="15"/>
      <c r="E199" s="1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5"/>
      <c r="B200" s="15"/>
      <c r="C200" s="15"/>
      <c r="D200" s="15"/>
      <c r="E200" s="1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5"/>
      <c r="B201" s="15"/>
      <c r="C201" s="15"/>
      <c r="D201" s="15"/>
      <c r="E201" s="1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5"/>
      <c r="B202" s="15"/>
      <c r="C202" s="15"/>
      <c r="D202" s="15"/>
      <c r="E202" s="1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5"/>
      <c r="B203" s="15"/>
      <c r="C203" s="15"/>
      <c r="D203" s="15"/>
      <c r="E203" s="1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5"/>
      <c r="B204" s="15"/>
      <c r="C204" s="15"/>
      <c r="D204" s="15"/>
      <c r="E204" s="1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5"/>
      <c r="B205" s="15"/>
      <c r="C205" s="15"/>
      <c r="D205" s="15"/>
      <c r="E205" s="1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5"/>
      <c r="B206" s="15"/>
      <c r="C206" s="15"/>
      <c r="D206" s="15"/>
      <c r="E206" s="1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5"/>
      <c r="B207" s="15"/>
      <c r="C207" s="15"/>
      <c r="D207" s="15"/>
      <c r="E207" s="1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5"/>
      <c r="B208" s="15"/>
      <c r="C208" s="15"/>
      <c r="D208" s="15"/>
      <c r="E208" s="1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5"/>
      <c r="B209" s="15"/>
      <c r="C209" s="15"/>
      <c r="D209" s="15"/>
      <c r="E209" s="1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5"/>
      <c r="B210" s="15"/>
      <c r="C210" s="15"/>
      <c r="D210" s="15"/>
      <c r="E210" s="1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5"/>
      <c r="B211" s="15"/>
      <c r="C211" s="15"/>
      <c r="D211" s="15"/>
      <c r="E211" s="1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5"/>
      <c r="B212" s="15"/>
      <c r="C212" s="15"/>
      <c r="D212" s="15"/>
      <c r="E212" s="1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5"/>
      <c r="B213" s="15"/>
      <c r="C213" s="15"/>
      <c r="D213" s="15"/>
      <c r="E213" s="1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5"/>
      <c r="B214" s="15"/>
      <c r="C214" s="15"/>
      <c r="D214" s="15"/>
      <c r="E214" s="1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5"/>
      <c r="B215" s="15"/>
      <c r="C215" s="15"/>
      <c r="D215" s="15"/>
      <c r="E215" s="1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5"/>
      <c r="B216" s="15"/>
      <c r="C216" s="15"/>
      <c r="D216" s="15"/>
      <c r="E216" s="1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5"/>
      <c r="B217" s="15"/>
      <c r="C217" s="15"/>
      <c r="D217" s="15"/>
      <c r="E217" s="1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5"/>
      <c r="B218" s="15"/>
      <c r="C218" s="15"/>
      <c r="D218" s="15"/>
      <c r="E218" s="1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5"/>
      <c r="B219" s="15"/>
      <c r="C219" s="15"/>
      <c r="D219" s="15"/>
      <c r="E219" s="1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5"/>
      <c r="B220" s="15"/>
      <c r="C220" s="15"/>
      <c r="D220" s="15"/>
      <c r="E220" s="1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5"/>
      <c r="B221" s="15"/>
      <c r="C221" s="15"/>
      <c r="D221" s="15"/>
      <c r="E221" s="1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5"/>
      <c r="B222" s="15"/>
      <c r="C222" s="15"/>
      <c r="D222" s="15"/>
      <c r="E222" s="1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5"/>
      <c r="B223" s="15"/>
      <c r="C223" s="15"/>
      <c r="D223" s="15"/>
      <c r="E223" s="1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5"/>
      <c r="B224" s="15"/>
      <c r="C224" s="15"/>
      <c r="D224" s="15"/>
      <c r="E224" s="1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5"/>
      <c r="B225" s="15"/>
      <c r="C225" s="15"/>
      <c r="D225" s="15"/>
      <c r="E225" s="1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5"/>
      <c r="B226" s="15"/>
      <c r="C226" s="15"/>
      <c r="D226" s="15"/>
      <c r="E226" s="1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5"/>
      <c r="B227" s="15"/>
      <c r="C227" s="15"/>
      <c r="D227" s="15"/>
      <c r="E227" s="1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5"/>
      <c r="B228" s="15"/>
      <c r="C228" s="15"/>
      <c r="D228" s="15"/>
      <c r="E228" s="1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5"/>
      <c r="B229" s="15"/>
      <c r="C229" s="15"/>
      <c r="D229" s="15"/>
      <c r="E229" s="1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5"/>
      <c r="B230" s="15"/>
      <c r="C230" s="15"/>
      <c r="D230" s="15"/>
      <c r="E230" s="1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5"/>
      <c r="B231" s="15"/>
      <c r="C231" s="15"/>
      <c r="D231" s="15"/>
      <c r="E231" s="1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5"/>
      <c r="B232" s="15"/>
      <c r="C232" s="15"/>
      <c r="D232" s="15"/>
      <c r="E232" s="1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5"/>
      <c r="B233" s="15"/>
      <c r="C233" s="15"/>
      <c r="D233" s="15"/>
      <c r="E233" s="1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5"/>
      <c r="B234" s="15"/>
      <c r="C234" s="15"/>
      <c r="D234" s="15"/>
      <c r="E234" s="1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5"/>
      <c r="B235" s="15"/>
      <c r="C235" s="15"/>
      <c r="D235" s="15"/>
      <c r="E235" s="1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5"/>
      <c r="B236" s="15"/>
      <c r="C236" s="15"/>
      <c r="D236" s="15"/>
      <c r="E236" s="1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5"/>
      <c r="B237" s="15"/>
      <c r="C237" s="15"/>
      <c r="D237" s="15"/>
      <c r="E237" s="1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5"/>
      <c r="B238" s="15"/>
      <c r="C238" s="15"/>
      <c r="D238" s="15"/>
      <c r="E238" s="1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5"/>
      <c r="B239" s="15"/>
      <c r="C239" s="15"/>
      <c r="D239" s="15"/>
      <c r="E239" s="1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5"/>
      <c r="B240" s="15"/>
      <c r="C240" s="15"/>
      <c r="D240" s="15"/>
      <c r="E240" s="1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5"/>
      <c r="B241" s="15"/>
      <c r="C241" s="15"/>
      <c r="D241" s="15"/>
      <c r="E241" s="1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5"/>
      <c r="B242" s="15"/>
      <c r="C242" s="15"/>
      <c r="D242" s="15"/>
      <c r="E242" s="1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5"/>
      <c r="B243" s="15"/>
      <c r="C243" s="15"/>
      <c r="D243" s="15"/>
      <c r="E243" s="1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5"/>
      <c r="B244" s="15"/>
      <c r="C244" s="15"/>
      <c r="D244" s="15"/>
      <c r="E244" s="1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5"/>
      <c r="B245" s="15"/>
      <c r="C245" s="15"/>
      <c r="D245" s="15"/>
      <c r="E245" s="1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5"/>
      <c r="B246" s="15"/>
      <c r="C246" s="15"/>
      <c r="D246" s="15"/>
      <c r="E246" s="1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5"/>
      <c r="B247" s="15"/>
      <c r="C247" s="15"/>
      <c r="D247" s="15"/>
      <c r="E247" s="1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5"/>
      <c r="B248" s="15"/>
      <c r="C248" s="15"/>
      <c r="D248" s="15"/>
      <c r="E248" s="1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5"/>
      <c r="B249" s="15"/>
      <c r="C249" s="15"/>
      <c r="D249" s="15"/>
      <c r="E249" s="1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5"/>
      <c r="B250" s="15"/>
      <c r="C250" s="15"/>
      <c r="D250" s="15"/>
      <c r="E250" s="1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5"/>
      <c r="B251" s="15"/>
      <c r="C251" s="15"/>
      <c r="D251" s="15"/>
      <c r="E251" s="1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5"/>
      <c r="B252" s="15"/>
      <c r="C252" s="15"/>
      <c r="D252" s="15"/>
      <c r="E252" s="1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5"/>
      <c r="B253" s="15"/>
      <c r="C253" s="15"/>
      <c r="D253" s="15"/>
      <c r="E253" s="1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5"/>
      <c r="B254" s="15"/>
      <c r="C254" s="15"/>
      <c r="D254" s="15"/>
      <c r="E254" s="1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5"/>
      <c r="B255" s="15"/>
      <c r="C255" s="15"/>
      <c r="D255" s="15"/>
      <c r="E255" s="1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5"/>
      <c r="B256" s="15"/>
      <c r="C256" s="15"/>
      <c r="D256" s="15"/>
      <c r="E256" s="1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5"/>
      <c r="B257" s="15"/>
      <c r="C257" s="15"/>
      <c r="D257" s="15"/>
      <c r="E257" s="1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5"/>
      <c r="B258" s="15"/>
      <c r="C258" s="15"/>
      <c r="D258" s="15"/>
      <c r="E258" s="1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5"/>
      <c r="B259" s="15"/>
      <c r="C259" s="15"/>
      <c r="D259" s="15"/>
      <c r="E259" s="1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5"/>
      <c r="B260" s="15"/>
      <c r="C260" s="15"/>
      <c r="D260" s="15"/>
      <c r="E260" s="1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5"/>
      <c r="B261" s="15"/>
      <c r="C261" s="15"/>
      <c r="D261" s="15"/>
      <c r="E261" s="1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5"/>
      <c r="B262" s="15"/>
      <c r="C262" s="15"/>
      <c r="D262" s="15"/>
      <c r="E262" s="1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5"/>
      <c r="B263" s="15"/>
      <c r="C263" s="15"/>
      <c r="D263" s="15"/>
      <c r="E263" s="1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5"/>
      <c r="B264" s="15"/>
      <c r="C264" s="15"/>
      <c r="D264" s="15"/>
      <c r="E264" s="1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5"/>
      <c r="B265" s="15"/>
      <c r="C265" s="15"/>
      <c r="D265" s="15"/>
      <c r="E265" s="1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5"/>
      <c r="B266" s="15"/>
      <c r="C266" s="15"/>
      <c r="D266" s="15"/>
      <c r="E266" s="1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5"/>
      <c r="B267" s="15"/>
      <c r="C267" s="15"/>
      <c r="D267" s="15"/>
      <c r="E267" s="1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5"/>
      <c r="B268" s="15"/>
      <c r="C268" s="15"/>
      <c r="D268" s="15"/>
      <c r="E268" s="1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5"/>
      <c r="B269" s="15"/>
      <c r="C269" s="15"/>
      <c r="D269" s="15"/>
      <c r="E269" s="1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5"/>
      <c r="B270" s="15"/>
      <c r="C270" s="15"/>
      <c r="D270" s="15"/>
      <c r="E270" s="1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5"/>
      <c r="B271" s="15"/>
      <c r="C271" s="15"/>
      <c r="D271" s="15"/>
      <c r="E271" s="1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5"/>
      <c r="B272" s="15"/>
      <c r="C272" s="15"/>
      <c r="D272" s="15"/>
      <c r="E272" s="1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5"/>
      <c r="B273" s="15"/>
      <c r="C273" s="15"/>
      <c r="D273" s="15"/>
      <c r="E273" s="1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5"/>
      <c r="B274" s="15"/>
      <c r="C274" s="15"/>
      <c r="D274" s="15"/>
      <c r="E274" s="1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5"/>
      <c r="B275" s="15"/>
      <c r="C275" s="15"/>
      <c r="D275" s="15"/>
      <c r="E275" s="1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5"/>
      <c r="B276" s="15"/>
      <c r="C276" s="15"/>
      <c r="D276" s="15"/>
      <c r="E276" s="1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5"/>
      <c r="B277" s="15"/>
      <c r="C277" s="15"/>
      <c r="D277" s="15"/>
      <c r="E277" s="1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5"/>
      <c r="B278" s="15"/>
      <c r="C278" s="15"/>
      <c r="D278" s="15"/>
      <c r="E278" s="1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5"/>
      <c r="B279" s="15"/>
      <c r="C279" s="15"/>
      <c r="D279" s="15"/>
      <c r="E279" s="1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5"/>
      <c r="B280" s="15"/>
      <c r="C280" s="15"/>
      <c r="D280" s="15"/>
      <c r="E280" s="1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5"/>
      <c r="B281" s="15"/>
      <c r="C281" s="15"/>
      <c r="D281" s="15"/>
      <c r="E281" s="1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5"/>
      <c r="B282" s="15"/>
      <c r="C282" s="15"/>
      <c r="D282" s="15"/>
      <c r="E282" s="1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5"/>
      <c r="B283" s="15"/>
      <c r="C283" s="15"/>
      <c r="D283" s="15"/>
      <c r="E283" s="1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5"/>
      <c r="B284" s="15"/>
      <c r="C284" s="15"/>
      <c r="D284" s="15"/>
      <c r="E284" s="1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5"/>
      <c r="B285" s="15"/>
      <c r="C285" s="15"/>
      <c r="D285" s="15"/>
      <c r="E285" s="1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5"/>
      <c r="B286" s="15"/>
      <c r="C286" s="15"/>
      <c r="D286" s="15"/>
      <c r="E286" s="1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5"/>
      <c r="B287" s="15"/>
      <c r="C287" s="15"/>
      <c r="D287" s="15"/>
      <c r="E287" s="1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5"/>
      <c r="B288" s="15"/>
      <c r="C288" s="15"/>
      <c r="D288" s="15"/>
      <c r="E288" s="1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5"/>
      <c r="B289" s="15"/>
      <c r="C289" s="15"/>
      <c r="D289" s="15"/>
      <c r="E289" s="1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5"/>
      <c r="B290" s="15"/>
      <c r="C290" s="15"/>
      <c r="D290" s="15"/>
      <c r="E290" s="1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5"/>
      <c r="B291" s="15"/>
      <c r="C291" s="15"/>
      <c r="D291" s="15"/>
      <c r="E291" s="1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5"/>
      <c r="B292" s="15"/>
      <c r="C292" s="15"/>
      <c r="D292" s="15"/>
      <c r="E292" s="1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5"/>
      <c r="B293" s="15"/>
      <c r="C293" s="15"/>
      <c r="D293" s="15"/>
      <c r="E293" s="1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5"/>
      <c r="B294" s="15"/>
      <c r="C294" s="15"/>
      <c r="D294" s="15"/>
      <c r="E294" s="1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5"/>
      <c r="B295" s="15"/>
      <c r="C295" s="15"/>
      <c r="D295" s="15"/>
      <c r="E295" s="1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5"/>
      <c r="B296" s="15"/>
      <c r="C296" s="15"/>
      <c r="D296" s="15"/>
      <c r="E296" s="1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5"/>
      <c r="B297" s="15"/>
      <c r="C297" s="15"/>
      <c r="D297" s="15"/>
      <c r="E297" s="1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5"/>
      <c r="B298" s="15"/>
      <c r="C298" s="15"/>
      <c r="D298" s="15"/>
      <c r="E298" s="1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5"/>
      <c r="B299" s="15"/>
      <c r="C299" s="15"/>
      <c r="D299" s="15"/>
      <c r="E299" s="1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5"/>
      <c r="B300" s="15"/>
      <c r="C300" s="15"/>
      <c r="D300" s="15"/>
      <c r="E300" s="1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5"/>
      <c r="B301" s="15"/>
      <c r="C301" s="15"/>
      <c r="D301" s="15"/>
      <c r="E301" s="1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5"/>
      <c r="B302" s="15"/>
      <c r="C302" s="15"/>
      <c r="D302" s="15"/>
      <c r="E302" s="1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5"/>
      <c r="B303" s="15"/>
      <c r="C303" s="15"/>
      <c r="D303" s="15"/>
      <c r="E303" s="1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5"/>
      <c r="B304" s="15"/>
      <c r="C304" s="15"/>
      <c r="D304" s="15"/>
      <c r="E304" s="1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5"/>
      <c r="B305" s="15"/>
      <c r="C305" s="15"/>
      <c r="D305" s="15"/>
      <c r="E305" s="1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5"/>
      <c r="B306" s="15"/>
      <c r="C306" s="15"/>
      <c r="D306" s="15"/>
      <c r="E306" s="1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5"/>
      <c r="B307" s="15"/>
      <c r="C307" s="15"/>
      <c r="D307" s="15"/>
      <c r="E307" s="1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5"/>
      <c r="B308" s="15"/>
      <c r="C308" s="15"/>
      <c r="D308" s="15"/>
      <c r="E308" s="1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5"/>
      <c r="B309" s="15"/>
      <c r="C309" s="15"/>
      <c r="D309" s="15"/>
      <c r="E309" s="1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5"/>
      <c r="B310" s="15"/>
      <c r="C310" s="15"/>
      <c r="D310" s="15"/>
      <c r="E310" s="1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5"/>
      <c r="B311" s="15"/>
      <c r="C311" s="15"/>
      <c r="D311" s="15"/>
      <c r="E311" s="1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5"/>
      <c r="B312" s="15"/>
      <c r="C312" s="15"/>
      <c r="D312" s="15"/>
      <c r="E312" s="1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5"/>
      <c r="B313" s="15"/>
      <c r="C313" s="15"/>
      <c r="D313" s="15"/>
      <c r="E313" s="1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5"/>
      <c r="B314" s="15"/>
      <c r="C314" s="15"/>
      <c r="D314" s="15"/>
      <c r="E314" s="1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5"/>
      <c r="B315" s="15"/>
      <c r="C315" s="15"/>
      <c r="D315" s="15"/>
      <c r="E315" s="1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5"/>
      <c r="B316" s="15"/>
      <c r="C316" s="15"/>
      <c r="D316" s="15"/>
      <c r="E316" s="1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5"/>
      <c r="B317" s="15"/>
      <c r="C317" s="15"/>
      <c r="D317" s="15"/>
      <c r="E317" s="1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5"/>
      <c r="B318" s="15"/>
      <c r="C318" s="15"/>
      <c r="D318" s="15"/>
      <c r="E318" s="1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5"/>
      <c r="B319" s="15"/>
      <c r="C319" s="15"/>
      <c r="D319" s="15"/>
      <c r="E319" s="1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5"/>
      <c r="B320" s="15"/>
      <c r="C320" s="15"/>
      <c r="D320" s="15"/>
      <c r="E320" s="1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5"/>
      <c r="B321" s="15"/>
      <c r="C321" s="15"/>
      <c r="D321" s="15"/>
      <c r="E321" s="1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E$121"/>
  <conditionalFormatting sqref="A2:E121">
    <cfRule type="expression" dxfId="0" priority="1">
      <formula>$E2="✓"</formula>
    </cfRule>
  </conditionalFormatting>
  <dataValidations>
    <dataValidation type="list" allowBlank="1" sqref="E2:E121">
      <formula1>"✓"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</hyperlinks>
  <printOptions/>
  <pageMargins bottom="1.0" footer="0.0" header="0.0" left="0.75" right="0.75" top="1.0"/>
  <pageSetup paperSize="9" orientation="portrait"/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4.0"/>
    <col customWidth="1" min="4" max="4" width="16.0"/>
    <col customWidth="1" min="5" max="6" width="8.71"/>
  </cols>
  <sheetData>
    <row r="1" ht="27.75" customHeight="1">
      <c r="A1" s="16" t="s">
        <v>256</v>
      </c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5"/>
      <c r="B2" s="15"/>
      <c r="C2" s="15"/>
      <c r="D2" s="1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0</v>
      </c>
      <c r="B3" s="1" t="s">
        <v>257</v>
      </c>
      <c r="C3" s="1" t="s">
        <v>258</v>
      </c>
      <c r="D3" s="1" t="s">
        <v>259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5" t="s">
        <v>260</v>
      </c>
      <c r="B4" s="6">
        <v>20.0</v>
      </c>
      <c r="C4" s="6">
        <f>COUNTIFS('Canciones LDS'!A:A,"CD 1",'Canciones LDS'!E:E,"✓")</f>
        <v>0</v>
      </c>
      <c r="D4" s="17">
        <f t="shared" ref="D4:D10" si="1">IFERROR(C4/B4,0)</f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5" t="s">
        <v>261</v>
      </c>
      <c r="B5" s="6">
        <v>27.0</v>
      </c>
      <c r="C5" s="6">
        <f>COUNTIFS('Canciones LDS'!A:A,"CD 2",'Canciones LDS'!E:E,"✓")</f>
        <v>0</v>
      </c>
      <c r="D5" s="17">
        <f t="shared" si="1"/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5" t="s">
        <v>262</v>
      </c>
      <c r="B6" s="6">
        <v>26.0</v>
      </c>
      <c r="C6" s="6">
        <f>COUNTIFS('Canciones LDS'!A:A,"CD 3",'Canciones LDS'!E:E,"✓")</f>
        <v>0</v>
      </c>
      <c r="D6" s="17">
        <f t="shared" si="1"/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5" t="s">
        <v>263</v>
      </c>
      <c r="B7" s="6">
        <v>22.0</v>
      </c>
      <c r="C7" s="6">
        <f>COUNTIFS('Canciones LDS'!A:A,"CD 4",'Canciones LDS'!E:E,"✓")</f>
        <v>0</v>
      </c>
      <c r="D7" s="17">
        <f t="shared" si="1"/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5" t="s">
        <v>264</v>
      </c>
      <c r="B8" s="6">
        <v>15.0</v>
      </c>
      <c r="C8" s="6">
        <f>COUNTIFS('Canciones LDS'!A:A,"CD 5",'Canciones LDS'!E:E,"✓")</f>
        <v>0</v>
      </c>
      <c r="D8" s="17">
        <f t="shared" si="1"/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5" t="s">
        <v>265</v>
      </c>
      <c r="B9" s="6">
        <v>10.0</v>
      </c>
      <c r="C9" s="6">
        <f>COUNTIFS('Canciones LDS'!A:A,"CD 6",'Canciones LDS'!E:E,"✓")</f>
        <v>0</v>
      </c>
      <c r="D9" s="17">
        <f t="shared" si="1"/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8" t="s">
        <v>266</v>
      </c>
      <c r="B10" s="1">
        <f>SUM(B4:B9)</f>
        <v>120</v>
      </c>
      <c r="C10" s="1">
        <f>COUNTIF('Canciones LDS'!E:E,"✓")</f>
        <v>0</v>
      </c>
      <c r="D10" s="19">
        <f t="shared" si="1"/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/>
      <c r="B11" s="15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0" t="s">
        <v>267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/>
      <c r="B13" s="15"/>
      <c r="C13" s="15"/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/>
      <c r="B14" s="15"/>
      <c r="C14" s="15"/>
      <c r="D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/>
      <c r="B15" s="15"/>
      <c r="C15" s="15"/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/>
      <c r="B16" s="15"/>
      <c r="C16" s="15"/>
      <c r="D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/>
      <c r="B17" s="15"/>
      <c r="C17" s="15"/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/>
      <c r="B18" s="15"/>
      <c r="C18" s="15"/>
      <c r="D18" s="1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/>
      <c r="B19" s="15"/>
      <c r="C19" s="15"/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/>
      <c r="B20" s="15"/>
      <c r="C20" s="15"/>
      <c r="D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/>
      <c r="B21" s="15"/>
      <c r="C21" s="15"/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5"/>
      <c r="B22" s="15"/>
      <c r="C22" s="15"/>
      <c r="D22" s="1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5"/>
      <c r="B23" s="15"/>
      <c r="C23" s="15"/>
      <c r="D23" s="1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5"/>
      <c r="B24" s="15"/>
      <c r="C24" s="15"/>
      <c r="D24" s="1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5"/>
      <c r="B25" s="15"/>
      <c r="C25" s="15"/>
      <c r="D25" s="1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5"/>
      <c r="B26" s="15"/>
      <c r="C26" s="15"/>
      <c r="D26" s="1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5"/>
      <c r="B27" s="15"/>
      <c r="C27" s="15"/>
      <c r="D27" s="1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/>
      <c r="B28" s="15"/>
      <c r="C28" s="15"/>
      <c r="D28" s="1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/>
      <c r="B29" s="15"/>
      <c r="C29" s="15"/>
      <c r="D29" s="1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"/>
      <c r="B30" s="15"/>
      <c r="C30" s="15"/>
      <c r="D30" s="1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5"/>
      <c r="B31" s="15"/>
      <c r="C31" s="15"/>
      <c r="D31" s="1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"/>
      <c r="B32" s="15"/>
      <c r="C32" s="15"/>
      <c r="D32" s="1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5"/>
      <c r="B33" s="15"/>
      <c r="C33" s="15"/>
      <c r="D33" s="1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5"/>
      <c r="B34" s="15"/>
      <c r="C34" s="15"/>
      <c r="D34" s="1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5"/>
      <c r="B35" s="15"/>
      <c r="C35" s="15"/>
      <c r="D35" s="1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5"/>
      <c r="B36" s="15"/>
      <c r="C36" s="15"/>
      <c r="D36" s="1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5"/>
      <c r="B37" s="15"/>
      <c r="C37" s="15"/>
      <c r="D37" s="1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5"/>
      <c r="B38" s="15"/>
      <c r="C38" s="15"/>
      <c r="D38" s="1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5"/>
      <c r="B39" s="15"/>
      <c r="C39" s="15"/>
      <c r="D39" s="1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5"/>
      <c r="B40" s="15"/>
      <c r="C40" s="15"/>
      <c r="D40" s="1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5"/>
      <c r="B41" s="15"/>
      <c r="C41" s="15"/>
      <c r="D41" s="1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5"/>
      <c r="B42" s="15"/>
      <c r="C42" s="15"/>
      <c r="D42" s="1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5"/>
      <c r="B43" s="15"/>
      <c r="C43" s="15"/>
      <c r="D43" s="1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5"/>
      <c r="B44" s="15"/>
      <c r="C44" s="15"/>
      <c r="D44" s="1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5"/>
      <c r="B45" s="15"/>
      <c r="C45" s="15"/>
      <c r="D45" s="1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5"/>
      <c r="B46" s="15"/>
      <c r="C46" s="15"/>
      <c r="D46" s="1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5"/>
      <c r="B47" s="15"/>
      <c r="C47" s="15"/>
      <c r="D47" s="1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5"/>
      <c r="B48" s="15"/>
      <c r="C48" s="15"/>
      <c r="D48" s="1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5"/>
      <c r="B49" s="15"/>
      <c r="C49" s="15"/>
      <c r="D49" s="1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5"/>
      <c r="B50" s="15"/>
      <c r="C50" s="15"/>
      <c r="D50" s="1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5"/>
      <c r="B51" s="15"/>
      <c r="C51" s="15"/>
      <c r="D51" s="1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5"/>
      <c r="B52" s="15"/>
      <c r="C52" s="15"/>
      <c r="D52" s="1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5"/>
      <c r="B53" s="15"/>
      <c r="C53" s="15"/>
      <c r="D53" s="1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5"/>
      <c r="B54" s="15"/>
      <c r="C54" s="15"/>
      <c r="D54" s="1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5"/>
      <c r="B55" s="15"/>
      <c r="C55" s="15"/>
      <c r="D55" s="1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5"/>
      <c r="B56" s="15"/>
      <c r="C56" s="15"/>
      <c r="D56" s="1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5"/>
      <c r="B57" s="15"/>
      <c r="C57" s="15"/>
      <c r="D57" s="1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5"/>
      <c r="B58" s="15"/>
      <c r="C58" s="15"/>
      <c r="D58" s="1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5"/>
      <c r="B59" s="15"/>
      <c r="C59" s="15"/>
      <c r="D59" s="1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5"/>
      <c r="B60" s="15"/>
      <c r="C60" s="15"/>
      <c r="D60" s="1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5"/>
      <c r="B61" s="15"/>
      <c r="C61" s="15"/>
      <c r="D61" s="1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5"/>
      <c r="B62" s="15"/>
      <c r="C62" s="15"/>
      <c r="D62" s="1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5"/>
      <c r="B63" s="15"/>
      <c r="C63" s="15"/>
      <c r="D63" s="1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5"/>
      <c r="B64" s="15"/>
      <c r="C64" s="15"/>
      <c r="D64" s="1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5"/>
      <c r="B65" s="15"/>
      <c r="C65" s="15"/>
      <c r="D65" s="1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5"/>
      <c r="B66" s="15"/>
      <c r="C66" s="15"/>
      <c r="D66" s="1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5"/>
      <c r="B67" s="15"/>
      <c r="C67" s="15"/>
      <c r="D67" s="1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5"/>
      <c r="B68" s="15"/>
      <c r="C68" s="15"/>
      <c r="D68" s="1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5"/>
      <c r="B69" s="15"/>
      <c r="C69" s="15"/>
      <c r="D69" s="1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5"/>
      <c r="B70" s="15"/>
      <c r="C70" s="15"/>
      <c r="D70" s="1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5"/>
      <c r="B71" s="15"/>
      <c r="C71" s="15"/>
      <c r="D71" s="1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5"/>
      <c r="B72" s="15"/>
      <c r="C72" s="15"/>
      <c r="D72" s="1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5"/>
      <c r="B73" s="15"/>
      <c r="C73" s="15"/>
      <c r="D73" s="1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5"/>
      <c r="B74" s="15"/>
      <c r="C74" s="15"/>
      <c r="D74" s="1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5"/>
      <c r="B75" s="15"/>
      <c r="C75" s="15"/>
      <c r="D75" s="1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5"/>
      <c r="B76" s="15"/>
      <c r="C76" s="15"/>
      <c r="D76" s="1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5"/>
      <c r="B77" s="15"/>
      <c r="C77" s="15"/>
      <c r="D77" s="1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5"/>
      <c r="B78" s="15"/>
      <c r="C78" s="15"/>
      <c r="D78" s="1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5"/>
      <c r="B79" s="15"/>
      <c r="C79" s="15"/>
      <c r="D79" s="1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5"/>
      <c r="B80" s="15"/>
      <c r="C80" s="15"/>
      <c r="D80" s="1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5"/>
      <c r="B81" s="15"/>
      <c r="C81" s="15"/>
      <c r="D81" s="1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5"/>
      <c r="B82" s="15"/>
      <c r="C82" s="15"/>
      <c r="D82" s="1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5"/>
      <c r="B83" s="15"/>
      <c r="C83" s="15"/>
      <c r="D83" s="1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5"/>
      <c r="B84" s="15"/>
      <c r="C84" s="15"/>
      <c r="D84" s="1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5"/>
      <c r="B85" s="15"/>
      <c r="C85" s="15"/>
      <c r="D85" s="1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5"/>
      <c r="B86" s="15"/>
      <c r="C86" s="15"/>
      <c r="D86" s="1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5"/>
      <c r="B87" s="15"/>
      <c r="C87" s="15"/>
      <c r="D87" s="1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5"/>
      <c r="B88" s="15"/>
      <c r="C88" s="15"/>
      <c r="D88" s="1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5"/>
      <c r="B89" s="15"/>
      <c r="C89" s="15"/>
      <c r="D89" s="1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5"/>
      <c r="B90" s="15"/>
      <c r="C90" s="15"/>
      <c r="D90" s="1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5"/>
      <c r="B91" s="15"/>
      <c r="C91" s="15"/>
      <c r="D91" s="1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5"/>
      <c r="B92" s="15"/>
      <c r="C92" s="15"/>
      <c r="D92" s="1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5"/>
      <c r="B93" s="15"/>
      <c r="C93" s="15"/>
      <c r="D93" s="1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5"/>
      <c r="B94" s="15"/>
      <c r="C94" s="15"/>
      <c r="D94" s="1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5"/>
      <c r="B95" s="15"/>
      <c r="C95" s="15"/>
      <c r="D95" s="1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5"/>
      <c r="B96" s="15"/>
      <c r="C96" s="15"/>
      <c r="D96" s="1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5"/>
      <c r="B97" s="15"/>
      <c r="C97" s="15"/>
      <c r="D97" s="1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5"/>
      <c r="B98" s="15"/>
      <c r="C98" s="15"/>
      <c r="D98" s="1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5"/>
      <c r="B99" s="15"/>
      <c r="C99" s="15"/>
      <c r="D99" s="1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5"/>
      <c r="B100" s="15"/>
      <c r="C100" s="15"/>
      <c r="D100" s="1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5"/>
      <c r="B101" s="15"/>
      <c r="C101" s="15"/>
      <c r="D101" s="1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5"/>
      <c r="B102" s="15"/>
      <c r="C102" s="15"/>
      <c r="D102" s="1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5"/>
      <c r="B103" s="15"/>
      <c r="C103" s="15"/>
      <c r="D103" s="1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5"/>
      <c r="B104" s="15"/>
      <c r="C104" s="15"/>
      <c r="D104" s="1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5"/>
      <c r="B105" s="15"/>
      <c r="C105" s="15"/>
      <c r="D105" s="1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5"/>
      <c r="B106" s="15"/>
      <c r="C106" s="15"/>
      <c r="D106" s="1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5"/>
      <c r="B107" s="15"/>
      <c r="C107" s="15"/>
      <c r="D107" s="1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5"/>
      <c r="B108" s="15"/>
      <c r="C108" s="15"/>
      <c r="D108" s="1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5"/>
      <c r="B109" s="15"/>
      <c r="C109" s="15"/>
      <c r="D109" s="1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5"/>
      <c r="B110" s="15"/>
      <c r="C110" s="15"/>
      <c r="D110" s="1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5"/>
      <c r="B111" s="15"/>
      <c r="C111" s="15"/>
      <c r="D111" s="1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5"/>
      <c r="B112" s="15"/>
      <c r="C112" s="15"/>
      <c r="D112" s="1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5"/>
      <c r="B113" s="15"/>
      <c r="C113" s="15"/>
      <c r="D113" s="1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5"/>
      <c r="B114" s="15"/>
      <c r="C114" s="15"/>
      <c r="D114" s="1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5"/>
      <c r="B115" s="15"/>
      <c r="C115" s="15"/>
      <c r="D115" s="1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5"/>
      <c r="B116" s="15"/>
      <c r="C116" s="15"/>
      <c r="D116" s="1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5"/>
      <c r="B117" s="15"/>
      <c r="C117" s="15"/>
      <c r="D117" s="1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5"/>
      <c r="B118" s="15"/>
      <c r="C118" s="15"/>
      <c r="D118" s="1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5"/>
      <c r="B119" s="15"/>
      <c r="C119" s="15"/>
      <c r="D119" s="1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5"/>
      <c r="B120" s="15"/>
      <c r="C120" s="15"/>
      <c r="D120" s="1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5"/>
      <c r="B121" s="15"/>
      <c r="C121" s="15"/>
      <c r="D121" s="1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5"/>
      <c r="B122" s="15"/>
      <c r="C122" s="15"/>
      <c r="D122" s="1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5"/>
      <c r="B123" s="15"/>
      <c r="C123" s="15"/>
      <c r="D123" s="1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5"/>
      <c r="B124" s="15"/>
      <c r="C124" s="15"/>
      <c r="D124" s="1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5"/>
      <c r="B125" s="15"/>
      <c r="C125" s="15"/>
      <c r="D125" s="1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5"/>
      <c r="B126" s="15"/>
      <c r="C126" s="15"/>
      <c r="D126" s="1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5"/>
      <c r="B127" s="15"/>
      <c r="C127" s="15"/>
      <c r="D127" s="1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5"/>
      <c r="B128" s="15"/>
      <c r="C128" s="15"/>
      <c r="D128" s="1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5"/>
      <c r="B129" s="15"/>
      <c r="C129" s="15"/>
      <c r="D129" s="1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5"/>
      <c r="B130" s="15"/>
      <c r="C130" s="15"/>
      <c r="D130" s="1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5"/>
      <c r="B131" s="15"/>
      <c r="C131" s="15"/>
      <c r="D131" s="1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5"/>
      <c r="B132" s="15"/>
      <c r="C132" s="15"/>
      <c r="D132" s="1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5"/>
      <c r="B133" s="15"/>
      <c r="C133" s="15"/>
      <c r="D133" s="1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5"/>
      <c r="B134" s="15"/>
      <c r="C134" s="15"/>
      <c r="D134" s="1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5"/>
      <c r="B135" s="15"/>
      <c r="C135" s="15"/>
      <c r="D135" s="1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5"/>
      <c r="B136" s="15"/>
      <c r="C136" s="15"/>
      <c r="D136" s="1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5"/>
      <c r="B137" s="15"/>
      <c r="C137" s="15"/>
      <c r="D137" s="1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5"/>
      <c r="B138" s="15"/>
      <c r="C138" s="15"/>
      <c r="D138" s="1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5"/>
      <c r="B139" s="15"/>
      <c r="C139" s="15"/>
      <c r="D139" s="1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5"/>
      <c r="B140" s="15"/>
      <c r="C140" s="15"/>
      <c r="D140" s="1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5"/>
      <c r="B141" s="15"/>
      <c r="C141" s="15"/>
      <c r="D141" s="1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5"/>
      <c r="B142" s="15"/>
      <c r="C142" s="15"/>
      <c r="D142" s="1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5"/>
      <c r="B143" s="15"/>
      <c r="C143" s="15"/>
      <c r="D143" s="1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5"/>
      <c r="B144" s="15"/>
      <c r="C144" s="15"/>
      <c r="D144" s="1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5"/>
      <c r="B145" s="15"/>
      <c r="C145" s="15"/>
      <c r="D145" s="1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5"/>
      <c r="B146" s="15"/>
      <c r="C146" s="15"/>
      <c r="D146" s="1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5"/>
      <c r="B147" s="15"/>
      <c r="C147" s="15"/>
      <c r="D147" s="1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5"/>
      <c r="B148" s="15"/>
      <c r="C148" s="15"/>
      <c r="D148" s="1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5"/>
      <c r="B149" s="15"/>
      <c r="C149" s="15"/>
      <c r="D149" s="1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5"/>
      <c r="B150" s="15"/>
      <c r="C150" s="15"/>
      <c r="D150" s="1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5"/>
      <c r="B151" s="15"/>
      <c r="C151" s="15"/>
      <c r="D151" s="1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5"/>
      <c r="B152" s="15"/>
      <c r="C152" s="15"/>
      <c r="D152" s="1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5"/>
      <c r="B153" s="15"/>
      <c r="C153" s="15"/>
      <c r="D153" s="1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5"/>
      <c r="B154" s="15"/>
      <c r="C154" s="15"/>
      <c r="D154" s="1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5"/>
      <c r="B155" s="15"/>
      <c r="C155" s="15"/>
      <c r="D155" s="1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5"/>
      <c r="B156" s="15"/>
      <c r="C156" s="15"/>
      <c r="D156" s="1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5"/>
      <c r="B157" s="15"/>
      <c r="C157" s="15"/>
      <c r="D157" s="1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5"/>
      <c r="B158" s="15"/>
      <c r="C158" s="15"/>
      <c r="D158" s="1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5"/>
      <c r="B159" s="15"/>
      <c r="C159" s="15"/>
      <c r="D159" s="1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5"/>
      <c r="B160" s="15"/>
      <c r="C160" s="15"/>
      <c r="D160" s="1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5"/>
      <c r="B161" s="15"/>
      <c r="C161" s="15"/>
      <c r="D161" s="1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5"/>
      <c r="B162" s="15"/>
      <c r="C162" s="15"/>
      <c r="D162" s="1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5"/>
      <c r="B163" s="15"/>
      <c r="C163" s="15"/>
      <c r="D163" s="1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5"/>
      <c r="B164" s="15"/>
      <c r="C164" s="15"/>
      <c r="D164" s="1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5"/>
      <c r="B165" s="15"/>
      <c r="C165" s="15"/>
      <c r="D165" s="1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5"/>
      <c r="B166" s="15"/>
      <c r="C166" s="15"/>
      <c r="D166" s="1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5"/>
      <c r="B167" s="15"/>
      <c r="C167" s="15"/>
      <c r="D167" s="1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5"/>
      <c r="B168" s="15"/>
      <c r="C168" s="15"/>
      <c r="D168" s="1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5"/>
      <c r="B169" s="15"/>
      <c r="C169" s="15"/>
      <c r="D169" s="1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5"/>
      <c r="B170" s="15"/>
      <c r="C170" s="15"/>
      <c r="D170" s="1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5"/>
      <c r="B171" s="15"/>
      <c r="C171" s="15"/>
      <c r="D171" s="1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5"/>
      <c r="B172" s="15"/>
      <c r="C172" s="15"/>
      <c r="D172" s="1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5"/>
      <c r="B173" s="15"/>
      <c r="C173" s="15"/>
      <c r="D173" s="1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5"/>
      <c r="B174" s="15"/>
      <c r="C174" s="15"/>
      <c r="D174" s="1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5"/>
      <c r="B175" s="15"/>
      <c r="C175" s="15"/>
      <c r="D175" s="1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5"/>
      <c r="B176" s="15"/>
      <c r="C176" s="15"/>
      <c r="D176" s="1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5"/>
      <c r="B177" s="15"/>
      <c r="C177" s="15"/>
      <c r="D177" s="1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5"/>
      <c r="B178" s="15"/>
      <c r="C178" s="15"/>
      <c r="D178" s="1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5"/>
      <c r="B179" s="15"/>
      <c r="C179" s="15"/>
      <c r="D179" s="1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5"/>
      <c r="B180" s="15"/>
      <c r="C180" s="15"/>
      <c r="D180" s="1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5"/>
      <c r="B181" s="15"/>
      <c r="C181" s="15"/>
      <c r="D181" s="1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5"/>
      <c r="B182" s="15"/>
      <c r="C182" s="15"/>
      <c r="D182" s="1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5"/>
      <c r="B183" s="15"/>
      <c r="C183" s="15"/>
      <c r="D183" s="1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5"/>
      <c r="B184" s="15"/>
      <c r="C184" s="15"/>
      <c r="D184" s="1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5"/>
      <c r="B185" s="15"/>
      <c r="C185" s="15"/>
      <c r="D185" s="1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5"/>
      <c r="B186" s="15"/>
      <c r="C186" s="15"/>
      <c r="D186" s="1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5"/>
      <c r="B187" s="15"/>
      <c r="C187" s="15"/>
      <c r="D187" s="1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5"/>
      <c r="B188" s="15"/>
      <c r="C188" s="15"/>
      <c r="D188" s="1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5"/>
      <c r="B189" s="15"/>
      <c r="C189" s="15"/>
      <c r="D189" s="1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5"/>
      <c r="B190" s="15"/>
      <c r="C190" s="15"/>
      <c r="D190" s="1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5"/>
      <c r="B191" s="15"/>
      <c r="C191" s="15"/>
      <c r="D191" s="1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5"/>
      <c r="B192" s="15"/>
      <c r="C192" s="15"/>
      <c r="D192" s="1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5"/>
      <c r="B193" s="15"/>
      <c r="C193" s="15"/>
      <c r="D193" s="1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5"/>
      <c r="B194" s="15"/>
      <c r="C194" s="15"/>
      <c r="D194" s="1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5"/>
      <c r="B195" s="15"/>
      <c r="C195" s="15"/>
      <c r="D195" s="1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5"/>
      <c r="B196" s="15"/>
      <c r="C196" s="15"/>
      <c r="D196" s="1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5"/>
      <c r="B197" s="15"/>
      <c r="C197" s="15"/>
      <c r="D197" s="1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5"/>
      <c r="B198" s="15"/>
      <c r="C198" s="15"/>
      <c r="D198" s="1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5"/>
      <c r="B199" s="15"/>
      <c r="C199" s="15"/>
      <c r="D199" s="1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5"/>
      <c r="B200" s="15"/>
      <c r="C200" s="15"/>
      <c r="D200" s="1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5"/>
      <c r="B201" s="15"/>
      <c r="C201" s="15"/>
      <c r="D201" s="1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5"/>
      <c r="B202" s="15"/>
      <c r="C202" s="15"/>
      <c r="D202" s="1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5"/>
      <c r="B203" s="15"/>
      <c r="C203" s="15"/>
      <c r="D203" s="1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5"/>
      <c r="B204" s="15"/>
      <c r="C204" s="15"/>
      <c r="D204" s="1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5"/>
      <c r="B205" s="15"/>
      <c r="C205" s="15"/>
      <c r="D205" s="1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5"/>
      <c r="B206" s="15"/>
      <c r="C206" s="15"/>
      <c r="D206" s="1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5"/>
      <c r="B207" s="15"/>
      <c r="C207" s="15"/>
      <c r="D207" s="1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5"/>
      <c r="B208" s="15"/>
      <c r="C208" s="15"/>
      <c r="D208" s="1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5"/>
      <c r="B209" s="15"/>
      <c r="C209" s="15"/>
      <c r="D209" s="1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5"/>
      <c r="B210" s="15"/>
      <c r="C210" s="15"/>
      <c r="D210" s="1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5"/>
      <c r="B211" s="15"/>
      <c r="C211" s="15"/>
      <c r="D211" s="1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5"/>
      <c r="B212" s="15"/>
      <c r="C212" s="15"/>
      <c r="D212" s="1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5"/>
      <c r="B213" s="15"/>
      <c r="C213" s="15"/>
      <c r="D213" s="1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5"/>
      <c r="B214" s="15"/>
      <c r="C214" s="15"/>
      <c r="D214" s="1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5"/>
      <c r="B215" s="15"/>
      <c r="C215" s="15"/>
      <c r="D215" s="1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5"/>
      <c r="B216" s="15"/>
      <c r="C216" s="15"/>
      <c r="D216" s="1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5"/>
      <c r="B217" s="15"/>
      <c r="C217" s="15"/>
      <c r="D217" s="1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5"/>
      <c r="B218" s="15"/>
      <c r="C218" s="15"/>
      <c r="D218" s="1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5"/>
      <c r="B219" s="15"/>
      <c r="C219" s="15"/>
      <c r="D219" s="1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5"/>
      <c r="B220" s="15"/>
      <c r="C220" s="15"/>
      <c r="D220" s="1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C1"/>
    <mergeCell ref="A12:D12"/>
  </mergeCells>
  <printOptions/>
  <pageMargins bottom="1.0" footer="0.0" header="0.0" left="0.75" right="0.75" top="1.0"/>
  <pageSetup paperSize="9" orientation="portrait"/>
  <drawing r:id="rId1"/>
</worksheet>
</file>